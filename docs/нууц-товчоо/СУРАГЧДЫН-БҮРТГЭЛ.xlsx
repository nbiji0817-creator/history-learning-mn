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авар" sheetId="1" state="visible" r:id="rId3"/>
    <sheet name="Сурагчид" sheetId="2" state="visible" r:id="rId4"/>
    <sheet name="Долоо хоног" sheetId="3" state="visible" r:id="rId5"/>
    <sheet name="Бүлгүүд" sheetId="4" state="visible" r:id="rId6"/>
    <sheet name="Ахиц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3" authorId="0">
      <text>
        <r>
          <rPr>
            <sz val="10"/>
            <rFont val="Arial"/>
            <family val="2"/>
          </rPr>
          <t xml:space="preserve">Эхний 13 хүүхэд 1–13-р бүлгийн ахлагч болно. Үлдсэнийг 13→1, 1→13 гэж могой хэлбэрээр хуваарилна.</t>
        </r>
      </text>
    </comment>
  </commentList>
</comments>
</file>

<file path=xl/sharedStrings.xml><?xml version="1.0" encoding="utf-8"?>
<sst xmlns="http://schemas.openxmlformats.org/spreadsheetml/2006/main" count="130" uniqueCount="104">
  <si>
    <t xml:space="preserve">Нууц товчоо — 65 сурагчийн ахицын бүртгэл</t>
  </si>
  <si>
    <t xml:space="preserve">Шар өнгөтэй нүдэнд л бичнэ. Бусад нүд томъёогоор автоматаар бодогдоно.</t>
  </si>
  <si>
    <t xml:space="preserve">1. «Сурагчид» хуудас: нэр, анги, 1-р долоо хоногийн тестийн дүн (хурд, 1–5, 6–10-р асуултын оноо, чанга уншлагын ЗУҮ).</t>
  </si>
  <si>
    <t xml:space="preserve">   → Түвшин (А 0–4, В 5–7, С 8–10), эрэмбэ, санал болгох бүлэг (1–13) автоматаар гарна.</t>
  </si>
  <si>
    <t xml:space="preserve">   → Оноо 4 эсвэл 7 гарсан хүүхдийн түвшинг хурдыг нь харж «Түвшин (багш)» баганад гараар өөрчилж болно.</t>
  </si>
  <si>
    <t xml:space="preserve">   → Бүлгийг өөрчлөх бол «Бүлэг (багш)» баганад бичнэ. Хоосон бол санал болгосон бүлэг хэвээр.</t>
  </si>
  <si>
    <t xml:space="preserve">   → 18 ба 36-р долоо хоногийн тестийн дүнг баруун талын баганад бичнэ. Өсөлт автоматаар бодогдоно.</t>
  </si>
  <si>
    <t xml:space="preserve">2. «Долоо хоног» хуудас: Баасан гарагийн 5 асуулттай шалгалтын оноог (0–5) бичнэ. Нэрс «Сурагчид»-аас автоматаар орно.</t>
  </si>
  <si>
    <t xml:space="preserve">   18-р долоо хоногийн Баасан бол хагас жилийн тест тул тэр баганыг тусад нь гаргаагүй.</t>
  </si>
  <si>
    <t xml:space="preserve">3. «Бүлгүүд» хуудас: 13 бүлэг тус бүрийн хүүхдийн тоо, А/В/С тоо, анги бүрийн тоо, санал болгох ахлагч, дундаж оноо.</t>
  </si>
  <si>
    <t xml:space="preserve">4. «Ахиц» хуудас: эхлэл, хагас жил, эцсийн дүнгийн харьцуулалт ба долоо хоног бүрийн дундаж онооны график.</t>
  </si>
  <si>
    <t xml:space="preserve">Хурд = 1 минутад чимээгүй уншсан үг. ЗУҮ = 1 минутад чангаар зөв уншсан үг (зөвхөн сонгосон хүүхдүүд).</t>
  </si>
  <si>
    <t xml:space="preserve">Жишээ мөр (бичих хэлбэр):</t>
  </si>
  <si>
    <t xml:space="preserve">№</t>
  </si>
  <si>
    <t xml:space="preserve">Нэр</t>
  </si>
  <si>
    <t xml:space="preserve">Анги</t>
  </si>
  <si>
    <t xml:space="preserve">Хурд</t>
  </si>
  <si>
    <t xml:space="preserve">1–5</t>
  </si>
  <si>
    <t xml:space="preserve">6–10</t>
  </si>
  <si>
    <t xml:space="preserve">ЗУҮ</t>
  </si>
  <si>
    <t xml:space="preserve">Бат-Эрдэнэ</t>
  </si>
  <si>
    <t xml:space="preserve">(ЗУҮ-г зөвхөн чангаар уншуулсан хүүхдэд бичнэ.)</t>
  </si>
  <si>
    <t xml:space="preserve">Сурагчдын бүртгэл ба түвшин</t>
  </si>
  <si>
    <t xml:space="preserve">Эхлэлийн үнэлгээ (1-р долоо хоног)</t>
  </si>
  <si>
    <t xml:space="preserve">Хагас жил (18-р долоо хоног)</t>
  </si>
  <si>
    <t xml:space="preserve">Эцэс (36-р долоо хоног)</t>
  </si>
  <si>
    <t xml:space="preserve">Өсөлт</t>
  </si>
  <si>
    <t xml:space="preserve">Хурд (үг/мин)</t>
  </si>
  <si>
    <t xml:space="preserve">Нийт /10</t>
  </si>
  <si>
    <t xml:space="preserve">Түвшин (авто)</t>
  </si>
  <si>
    <t xml:space="preserve">Түвшин (багш)</t>
  </si>
  <si>
    <t xml:space="preserve">Түвшин</t>
  </si>
  <si>
    <t xml:space="preserve">Эрэмбэ</t>
  </si>
  <si>
    <t xml:space="preserve">Санал бүлэг</t>
  </si>
  <si>
    <t xml:space="preserve">Бүлэг (багш)</t>
  </si>
  <si>
    <t xml:space="preserve">Бүлэг</t>
  </si>
  <si>
    <t xml:space="preserve">Эрэмбийн түлхүүр</t>
  </si>
  <si>
    <t xml:space="preserve">Оноо (эцэс−эхлэл)</t>
  </si>
  <si>
    <t xml:space="preserve">Хурд (эцэс−эхлэл)</t>
  </si>
  <si>
    <t xml:space="preserve">Баасан гарагийн шалгалтын оноо (0–5)</t>
  </si>
  <si>
    <t xml:space="preserve">(графикт ашиглах долоо хоногийн дугаар)</t>
  </si>
  <si>
    <t xml:space="preserve">2-р 7х</t>
  </si>
  <si>
    <t xml:space="preserve">3-р 7х</t>
  </si>
  <si>
    <t xml:space="preserve">4-р 7х</t>
  </si>
  <si>
    <t xml:space="preserve">5-р 7х</t>
  </si>
  <si>
    <t xml:space="preserve">6-р 7х</t>
  </si>
  <si>
    <t xml:space="preserve">7-р 7х</t>
  </si>
  <si>
    <t xml:space="preserve">8-р 7х</t>
  </si>
  <si>
    <t xml:space="preserve">9-р 7х</t>
  </si>
  <si>
    <t xml:space="preserve">10-р 7х</t>
  </si>
  <si>
    <t xml:space="preserve">11-р 7х</t>
  </si>
  <si>
    <t xml:space="preserve">12-р 7х</t>
  </si>
  <si>
    <t xml:space="preserve">13-р 7х</t>
  </si>
  <si>
    <t xml:space="preserve">14-р 7х</t>
  </si>
  <si>
    <t xml:space="preserve">15-р 7х</t>
  </si>
  <si>
    <t xml:space="preserve">16-р 7х</t>
  </si>
  <si>
    <t xml:space="preserve">17-р 7х</t>
  </si>
  <si>
    <t xml:space="preserve">19-р 7х</t>
  </si>
  <si>
    <t xml:space="preserve">20-р 7х</t>
  </si>
  <si>
    <t xml:space="preserve">21-р 7х</t>
  </si>
  <si>
    <t xml:space="preserve">22-р 7х</t>
  </si>
  <si>
    <t xml:space="preserve">23-р 7х</t>
  </si>
  <si>
    <t xml:space="preserve">24-р 7х</t>
  </si>
  <si>
    <t xml:space="preserve">25-р 7х</t>
  </si>
  <si>
    <t xml:space="preserve">26-р 7х</t>
  </si>
  <si>
    <t xml:space="preserve">27-р 7х</t>
  </si>
  <si>
    <t xml:space="preserve">28-р 7х</t>
  </si>
  <si>
    <t xml:space="preserve">29-р 7х</t>
  </si>
  <si>
    <t xml:space="preserve">30-р 7х</t>
  </si>
  <si>
    <t xml:space="preserve">31-р 7х</t>
  </si>
  <si>
    <t xml:space="preserve">32-р 7х</t>
  </si>
  <si>
    <t xml:space="preserve">33-р 7х</t>
  </si>
  <si>
    <t xml:space="preserve">34-р 7х</t>
  </si>
  <si>
    <t xml:space="preserve">35-р 7х</t>
  </si>
  <si>
    <t xml:space="preserve">Дундаж</t>
  </si>
  <si>
    <t xml:space="preserve">Шалгалт өгсөн</t>
  </si>
  <si>
    <t xml:space="preserve">Дундаж — бүгд</t>
  </si>
  <si>
    <t xml:space="preserve">Дундаж — А</t>
  </si>
  <si>
    <t xml:space="preserve">Дундаж — В</t>
  </si>
  <si>
    <t xml:space="preserve">Дундаж — С</t>
  </si>
  <si>
    <t xml:space="preserve">13 бүлгийн бүрэлдэхүүн</t>
  </si>
  <si>
    <t xml:space="preserve">Хүүхдийн тоо</t>
  </si>
  <si>
    <t xml:space="preserve">А</t>
  </si>
  <si>
    <t xml:space="preserve">В</t>
  </si>
  <si>
    <t xml:space="preserve">С</t>
  </si>
  <si>
    <t xml:space="preserve">6-р анги</t>
  </si>
  <si>
    <t xml:space="preserve">7-р анги</t>
  </si>
  <si>
    <t xml:space="preserve">8-р анги</t>
  </si>
  <si>
    <t xml:space="preserve">9-р анги</t>
  </si>
  <si>
    <t xml:space="preserve">Санал болгох ахлагч</t>
  </si>
  <si>
    <t xml:space="preserve">Долоо хоногийн дундаж</t>
  </si>
  <si>
    <t xml:space="preserve">Нийт</t>
  </si>
  <si>
    <t xml:space="preserve">Бүлэг бүр 5 орчим хүүхэдтэй, А/В/С холимог, нэг ангийн хүүхэд 3-аас ихгүй байвал зохимжтой.</t>
  </si>
  <si>
    <t xml:space="preserve">Ахицын тойм</t>
  </si>
  <si>
    <t xml:space="preserve">Үе</t>
  </si>
  <si>
    <t xml:space="preserve">Дундаж оноо /10</t>
  </si>
  <si>
    <t xml:space="preserve">Дундаж хурд (үг/мин)</t>
  </si>
  <si>
    <t xml:space="preserve">Дундаж ЗУҮ</t>
  </si>
  <si>
    <t xml:space="preserve">Тест өгсөн</t>
  </si>
  <si>
    <t xml:space="preserve">Эхлэл</t>
  </si>
  <si>
    <t xml:space="preserve">Хагас жил</t>
  </si>
  <si>
    <t xml:space="preserve">Эцэс</t>
  </si>
  <si>
    <t xml:space="preserve">Түвшин тус бүрийн хүүхдийн тоог «А, В, С» баганаас харна. Зорилт: А түвшний хүүхэд жилийн эцэст хоёр дахин цөөрөх.</t>
  </si>
  <si>
    <t xml:space="preserve">Түвшин тус бүрийн долоо хоногийн дундажийг «Долоо хоног» хуудасны доод мөрүүдээс харна.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</si>
</sst>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0"/>
      <name val="Arial"/>
      <family val="2"/>
    </font>
    <font>
      <i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5E5E5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5E5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878787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Түвшин тус бүрийн хүүхдийн тоо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Ахиц!E3</c:f>
              <c:strCache>
                <c:ptCount val="1"/>
                <c:pt idx="0">
                  <c:v>А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Ахиц!$A$4:$A$6</c:f>
              <c:strCache>
                <c:ptCount val="3"/>
                <c:pt idx="0">
                  <c:v>Эхлэл</c:v>
                </c:pt>
                <c:pt idx="1">
                  <c:v>Хагас жил</c:v>
                </c:pt>
                <c:pt idx="2">
                  <c:v>Эцэс</c:v>
                </c:pt>
              </c:strCache>
            </c:strRef>
          </c:cat>
          <c:val>
            <c:numRef>
              <c:f>Ахиц!$E$4:$E$6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Ахиц!F3</c:f>
              <c:strCache>
                <c:ptCount val="1"/>
                <c:pt idx="0">
                  <c:v>В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Ахиц!$A$4:$A$6</c:f>
              <c:strCache>
                <c:ptCount val="3"/>
                <c:pt idx="0">
                  <c:v>Эхлэл</c:v>
                </c:pt>
                <c:pt idx="1">
                  <c:v>Хагас жил</c:v>
                </c:pt>
                <c:pt idx="2">
                  <c:v>Эцэс</c:v>
                </c:pt>
              </c:strCache>
            </c:strRef>
          </c:cat>
          <c:val>
            <c:numRef>
              <c:f>Ахиц!$F$4:$F$6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Ахиц!G3</c:f>
              <c:strCache>
                <c:ptCount val="1"/>
                <c:pt idx="0">
                  <c:v>С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eda1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Ахиц!$A$4:$A$6</c:f>
              <c:strCache>
                <c:ptCount val="3"/>
                <c:pt idx="0">
                  <c:v>Эхлэл</c:v>
                </c:pt>
                <c:pt idx="1">
                  <c:v>Хагас жил</c:v>
                </c:pt>
                <c:pt idx="2">
                  <c:v>Эцэс</c:v>
                </c:pt>
              </c:strCache>
            </c:strRef>
          </c:cat>
          <c:val>
            <c:numRef>
              <c:f>Ахиц!$G$4:$G$6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-10"/>
        <c:axId val="72262596"/>
        <c:axId val="91283146"/>
      </c:barChart>
      <c:catAx>
        <c:axId val="72262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83146"/>
        <c:crosses val="autoZero"/>
        <c:auto val="1"/>
        <c:lblAlgn val="ctr"/>
        <c:lblOffset val="100"/>
        <c:noMultiLvlLbl val="0"/>
      </c:catAx>
      <c:valAx>
        <c:axId val="91283146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Хүүхэд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25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Долоо хоног бүрийн дундаж оноо (0–5)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'Долоо хоног'!$E$2:$AK$2</c:f>
              <c:strCache>
                <c:ptCount val="3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strCache>
            </c:strRef>
          </c:cat>
          <c:val>
            <c:numRef>
              <c:f>'Долоо хоног'!$E$75:$AK$75</c:f>
              <c:numCache>
                <c:formatCode>General</c:formatCode>
                <c:ptCount val="33"/>
              </c:numCache>
            </c:numRef>
          </c:val>
        </c:ser>
        <c:gapWidth val="40"/>
        <c:overlap val="0"/>
        <c:axId val="22180080"/>
        <c:axId val="69336404"/>
      </c:barChart>
      <c:catAx>
        <c:axId val="221800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Долоо хоног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6404"/>
        <c:crosses val="autoZero"/>
        <c:auto val="1"/>
        <c:lblAlgn val="ctr"/>
        <c:lblOffset val="100"/>
        <c:noMultiLvlLbl val="0"/>
      </c:catAx>
      <c:valAx>
        <c:axId val="6933640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Оноо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80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63720</xdr:rowOff>
    </xdr:from>
    <xdr:to>
      <xdr:col>6</xdr:col>
      <xdr:colOff>105840</xdr:colOff>
      <xdr:row>23</xdr:row>
      <xdr:rowOff>96120</xdr:rowOff>
    </xdr:to>
    <xdr:graphicFrame>
      <xdr:nvGraphicFramePr>
        <xdr:cNvPr id="0" name="Chart 1"/>
        <xdr:cNvGraphicFramePr/>
      </xdr:nvGraphicFramePr>
      <xdr:xfrm>
        <a:off x="0" y="1905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63360</xdr:rowOff>
    </xdr:from>
    <xdr:to>
      <xdr:col>11</xdr:col>
      <xdr:colOff>602280</xdr:colOff>
      <xdr:row>40</xdr:row>
      <xdr:rowOff>85680</xdr:rowOff>
    </xdr:to>
    <xdr:graphicFrame>
      <xdr:nvGraphicFramePr>
        <xdr:cNvPr id="1" name="Chart 2"/>
        <xdr:cNvGraphicFramePr/>
      </xdr:nvGraphicFramePr>
      <xdr:xfrm>
        <a:off x="0" y="49528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7" min="3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18</v>
      </c>
      <c r="G18" s="4" t="s">
        <v>19</v>
      </c>
    </row>
    <row r="19" customFormat="false" ht="15" hidden="false" customHeight="false" outlineLevel="0" collapsed="false">
      <c r="A19" s="5" t="n">
        <v>1</v>
      </c>
      <c r="B19" s="5" t="s">
        <v>20</v>
      </c>
      <c r="C19" s="5" t="n">
        <v>7</v>
      </c>
      <c r="D19" s="5" t="n">
        <v>142</v>
      </c>
      <c r="E19" s="5" t="n">
        <v>4</v>
      </c>
      <c r="F19" s="5" t="n">
        <v>3</v>
      </c>
      <c r="G19" s="5"/>
    </row>
    <row r="20" customFormat="false" ht="15" hidden="false" customHeight="false" outlineLevel="0" collapsed="false">
      <c r="A20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8" min="5" style="0" width="9"/>
    <col collapsed="false" customWidth="true" hidden="false" outlineLevel="0" max="10" min="9" style="0" width="11"/>
    <col collapsed="false" customWidth="true" hidden="false" outlineLevel="0" max="12" min="11" style="0" width="9"/>
    <col collapsed="false" customWidth="true" hidden="false" outlineLevel="0" max="14" min="13" style="0" width="11"/>
    <col collapsed="false" customWidth="true" hidden="false" outlineLevel="0" max="15" min="15" style="0" width="9"/>
    <col collapsed="false" customWidth="true" hidden="true" outlineLevel="0" max="16" min="16" style="0" width="9"/>
    <col collapsed="false" customWidth="true" hidden="false" outlineLevel="0" max="28" min="17" style="0" width="9"/>
    <col collapsed="false" customWidth="true" hidden="false" outlineLevel="0" max="30" min="29" style="0" width="11"/>
  </cols>
  <sheetData>
    <row r="1" customFormat="false" ht="16.15" hidden="false" customHeight="false" outlineLevel="0" collapsed="false">
      <c r="A1" s="7" t="s">
        <v>22</v>
      </c>
    </row>
    <row r="2" customFormat="false" ht="15" hidden="false" customHeight="true" outlineLevel="0" collapsed="false">
      <c r="D2" s="8" t="s">
        <v>23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24</v>
      </c>
      <c r="R2" s="8"/>
      <c r="S2" s="8"/>
      <c r="T2" s="8"/>
      <c r="U2" s="8"/>
      <c r="V2" s="8"/>
      <c r="W2" s="8" t="s">
        <v>25</v>
      </c>
      <c r="X2" s="8"/>
      <c r="Y2" s="8"/>
      <c r="Z2" s="8"/>
      <c r="AA2" s="8"/>
      <c r="AB2" s="8"/>
      <c r="AC2" s="8" t="s">
        <v>26</v>
      </c>
      <c r="AD2" s="8"/>
    </row>
    <row r="3" customFormat="false" ht="35.0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27</v>
      </c>
      <c r="E3" s="4" t="s">
        <v>17</v>
      </c>
      <c r="F3" s="4" t="s">
        <v>18</v>
      </c>
      <c r="G3" s="4" t="s">
        <v>28</v>
      </c>
      <c r="H3" s="4" t="s">
        <v>19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16</v>
      </c>
      <c r="R3" s="4" t="s">
        <v>17</v>
      </c>
      <c r="S3" s="4" t="s">
        <v>18</v>
      </c>
      <c r="T3" s="4" t="s">
        <v>28</v>
      </c>
      <c r="U3" s="4" t="s">
        <v>19</v>
      </c>
      <c r="V3" s="4" t="s">
        <v>31</v>
      </c>
      <c r="W3" s="4" t="s">
        <v>16</v>
      </c>
      <c r="X3" s="4" t="s">
        <v>17</v>
      </c>
      <c r="Y3" s="4" t="s">
        <v>18</v>
      </c>
      <c r="Z3" s="4" t="s">
        <v>28</v>
      </c>
      <c r="AA3" s="4" t="s">
        <v>19</v>
      </c>
      <c r="AB3" s="4" t="s">
        <v>31</v>
      </c>
      <c r="AC3" s="4" t="s">
        <v>37</v>
      </c>
      <c r="AD3" s="4" t="s">
        <v>38</v>
      </c>
    </row>
    <row r="4" customFormat="false" ht="15" hidden="false" customHeight="false" outlineLevel="0" collapsed="false">
      <c r="A4" s="9" t="n">
        <v>1</v>
      </c>
      <c r="B4" s="10"/>
      <c r="C4" s="11"/>
      <c r="D4" s="11"/>
      <c r="E4" s="11"/>
      <c r="F4" s="11"/>
      <c r="G4" s="12" t="str">
        <f aca="false">IF(OR(E4="",F4=""),"",E4+F4)</f>
        <v/>
      </c>
      <c r="H4" s="11"/>
      <c r="I4" s="12" t="str">
        <f aca="false">IF(G4="","",IF(G4&lt;=4,"А",IF(G4&lt;=7,"В","С")))</f>
        <v/>
      </c>
      <c r="J4" s="11"/>
      <c r="K4" s="12" t="str">
        <f aca="false">IF(J4&lt;&gt;"",J4,I4)</f>
        <v/>
      </c>
      <c r="L4" s="12" t="str">
        <f aca="false">IF(P4="","",COUNTIF($P$4:$P$73,"&gt;"&amp;P4)+COUNTIF($P$4:P4,P4))</f>
        <v/>
      </c>
      <c r="M4" s="12" t="str">
        <f aca="false">IF(L4="","",IF(L4&lt;=13,L4,IF(MOD(INT((L4-14)/13),2)=0,13-MOD(L4-14,13),MOD(L4-14,13)+1)))</f>
        <v/>
      </c>
      <c r="N4" s="11"/>
      <c r="O4" s="12" t="str">
        <f aca="false">IF(N4&lt;&gt;"",N4,M4)</f>
        <v/>
      </c>
      <c r="P4" s="12" t="str">
        <f aca="false">IF(G4="","",G4*1000+N(D4))</f>
        <v/>
      </c>
      <c r="Q4" s="11"/>
      <c r="R4" s="11"/>
      <c r="S4" s="11"/>
      <c r="T4" s="12" t="str">
        <f aca="false">IF(OR(R4="",S4=""),"",R4+S4)</f>
        <v/>
      </c>
      <c r="U4" s="11"/>
      <c r="V4" s="12" t="str">
        <f aca="false">IF(T4="","",IF(T4&lt;=4,"А",IF(T4&lt;=7,"В","С")))</f>
        <v/>
      </c>
      <c r="W4" s="11"/>
      <c r="X4" s="11"/>
      <c r="Y4" s="11"/>
      <c r="Z4" s="12" t="str">
        <f aca="false">IF(OR(X4="",Y4=""),"",X4+Y4)</f>
        <v/>
      </c>
      <c r="AA4" s="11"/>
      <c r="AB4" s="12" t="str">
        <f aca="false">IF(Z4="","",IF(Z4&lt;=4,"А",IF(Z4&lt;=7,"В","С")))</f>
        <v/>
      </c>
      <c r="AC4" s="12" t="str">
        <f aca="false">IF(OR(Z4="",G4=""),"",Z4-G4)</f>
        <v/>
      </c>
      <c r="AD4" s="12" t="str">
        <f aca="false">IF(OR(W4="",D4=""),"",W4-D4)</f>
        <v/>
      </c>
    </row>
    <row r="5" customFormat="false" ht="15" hidden="false" customHeight="false" outlineLevel="0" collapsed="false">
      <c r="A5" s="9" t="n">
        <v>2</v>
      </c>
      <c r="B5" s="10"/>
      <c r="C5" s="11"/>
      <c r="D5" s="11"/>
      <c r="E5" s="11"/>
      <c r="F5" s="11"/>
      <c r="G5" s="12" t="str">
        <f aca="false">IF(OR(E5="",F5=""),"",E5+F5)</f>
        <v/>
      </c>
      <c r="H5" s="11"/>
      <c r="I5" s="12" t="str">
        <f aca="false">IF(G5="","",IF(G5&lt;=4,"А",IF(G5&lt;=7,"В","С")))</f>
        <v/>
      </c>
      <c r="J5" s="11"/>
      <c r="K5" s="12" t="str">
        <f aca="false">IF(J5&lt;&gt;"",J5,I5)</f>
        <v/>
      </c>
      <c r="L5" s="12" t="str">
        <f aca="false">IF(P5="","",COUNTIF($P$4:$P$73,"&gt;"&amp;P5)+COUNTIF($P$4:P5,P5))</f>
        <v/>
      </c>
      <c r="M5" s="12" t="str">
        <f aca="false">IF(L5="","",IF(L5&lt;=13,L5,IF(MOD(INT((L5-14)/13),2)=0,13-MOD(L5-14,13),MOD(L5-14,13)+1)))</f>
        <v/>
      </c>
      <c r="N5" s="11"/>
      <c r="O5" s="12" t="str">
        <f aca="false">IF(N5&lt;&gt;"",N5,M5)</f>
        <v/>
      </c>
      <c r="P5" s="12" t="str">
        <f aca="false">IF(G5="","",G5*1000+N(D5))</f>
        <v/>
      </c>
      <c r="Q5" s="11"/>
      <c r="R5" s="11"/>
      <c r="S5" s="11"/>
      <c r="T5" s="12" t="str">
        <f aca="false">IF(OR(R5="",S5=""),"",R5+S5)</f>
        <v/>
      </c>
      <c r="U5" s="11"/>
      <c r="V5" s="12" t="str">
        <f aca="false">IF(T5="","",IF(T5&lt;=4,"А",IF(T5&lt;=7,"В","С")))</f>
        <v/>
      </c>
      <c r="W5" s="11"/>
      <c r="X5" s="11"/>
      <c r="Y5" s="11"/>
      <c r="Z5" s="12" t="str">
        <f aca="false">IF(OR(X5="",Y5=""),"",X5+Y5)</f>
        <v/>
      </c>
      <c r="AA5" s="11"/>
      <c r="AB5" s="12" t="str">
        <f aca="false">IF(Z5="","",IF(Z5&lt;=4,"А",IF(Z5&lt;=7,"В","С")))</f>
        <v/>
      </c>
      <c r="AC5" s="12" t="str">
        <f aca="false">IF(OR(Z5="",G5=""),"",Z5-G5)</f>
        <v/>
      </c>
      <c r="AD5" s="12" t="str">
        <f aca="false">IF(OR(W5="",D5=""),"",W5-D5)</f>
        <v/>
      </c>
    </row>
    <row r="6" customFormat="false" ht="15" hidden="false" customHeight="false" outlineLevel="0" collapsed="false">
      <c r="A6" s="9" t="n">
        <v>3</v>
      </c>
      <c r="B6" s="10"/>
      <c r="C6" s="11"/>
      <c r="D6" s="11"/>
      <c r="E6" s="11"/>
      <c r="F6" s="11"/>
      <c r="G6" s="12" t="str">
        <f aca="false">IF(OR(E6="",F6=""),"",E6+F6)</f>
        <v/>
      </c>
      <c r="H6" s="11"/>
      <c r="I6" s="12" t="str">
        <f aca="false">IF(G6="","",IF(G6&lt;=4,"А",IF(G6&lt;=7,"В","С")))</f>
        <v/>
      </c>
      <c r="J6" s="11"/>
      <c r="K6" s="12" t="str">
        <f aca="false">IF(J6&lt;&gt;"",J6,I6)</f>
        <v/>
      </c>
      <c r="L6" s="12" t="str">
        <f aca="false">IF(P6="","",COUNTIF($P$4:$P$73,"&gt;"&amp;P6)+COUNTIF($P$4:P6,P6))</f>
        <v/>
      </c>
      <c r="M6" s="12" t="str">
        <f aca="false">IF(L6="","",IF(L6&lt;=13,L6,IF(MOD(INT((L6-14)/13),2)=0,13-MOD(L6-14,13),MOD(L6-14,13)+1)))</f>
        <v/>
      </c>
      <c r="N6" s="11"/>
      <c r="O6" s="12" t="str">
        <f aca="false">IF(N6&lt;&gt;"",N6,M6)</f>
        <v/>
      </c>
      <c r="P6" s="12" t="str">
        <f aca="false">IF(G6="","",G6*1000+N(D6))</f>
        <v/>
      </c>
      <c r="Q6" s="11"/>
      <c r="R6" s="11"/>
      <c r="S6" s="11"/>
      <c r="T6" s="12" t="str">
        <f aca="false">IF(OR(R6="",S6=""),"",R6+S6)</f>
        <v/>
      </c>
      <c r="U6" s="11"/>
      <c r="V6" s="12" t="str">
        <f aca="false">IF(T6="","",IF(T6&lt;=4,"А",IF(T6&lt;=7,"В","С")))</f>
        <v/>
      </c>
      <c r="W6" s="11"/>
      <c r="X6" s="11"/>
      <c r="Y6" s="11"/>
      <c r="Z6" s="12" t="str">
        <f aca="false">IF(OR(X6="",Y6=""),"",X6+Y6)</f>
        <v/>
      </c>
      <c r="AA6" s="11"/>
      <c r="AB6" s="12" t="str">
        <f aca="false">IF(Z6="","",IF(Z6&lt;=4,"А",IF(Z6&lt;=7,"В","С")))</f>
        <v/>
      </c>
      <c r="AC6" s="12" t="str">
        <f aca="false">IF(OR(Z6="",G6=""),"",Z6-G6)</f>
        <v/>
      </c>
      <c r="AD6" s="12" t="str">
        <f aca="false">IF(OR(W6="",D6=""),"",W6-D6)</f>
        <v/>
      </c>
    </row>
    <row r="7" customFormat="false" ht="15" hidden="false" customHeight="false" outlineLevel="0" collapsed="false">
      <c r="A7" s="9" t="n">
        <v>4</v>
      </c>
      <c r="B7" s="10"/>
      <c r="C7" s="11"/>
      <c r="D7" s="11"/>
      <c r="E7" s="11"/>
      <c r="F7" s="11"/>
      <c r="G7" s="12" t="str">
        <f aca="false">IF(OR(E7="",F7=""),"",E7+F7)</f>
        <v/>
      </c>
      <c r="H7" s="11"/>
      <c r="I7" s="12" t="str">
        <f aca="false">IF(G7="","",IF(G7&lt;=4,"А",IF(G7&lt;=7,"В","С")))</f>
        <v/>
      </c>
      <c r="J7" s="11"/>
      <c r="K7" s="12" t="str">
        <f aca="false">IF(J7&lt;&gt;"",J7,I7)</f>
        <v/>
      </c>
      <c r="L7" s="12" t="str">
        <f aca="false">IF(P7="","",COUNTIF($P$4:$P$73,"&gt;"&amp;P7)+COUNTIF($P$4:P7,P7))</f>
        <v/>
      </c>
      <c r="M7" s="12" t="str">
        <f aca="false">IF(L7="","",IF(L7&lt;=13,L7,IF(MOD(INT((L7-14)/13),2)=0,13-MOD(L7-14,13),MOD(L7-14,13)+1)))</f>
        <v/>
      </c>
      <c r="N7" s="11"/>
      <c r="O7" s="12" t="str">
        <f aca="false">IF(N7&lt;&gt;"",N7,M7)</f>
        <v/>
      </c>
      <c r="P7" s="12" t="str">
        <f aca="false">IF(G7="","",G7*1000+N(D7))</f>
        <v/>
      </c>
      <c r="Q7" s="11"/>
      <c r="R7" s="11"/>
      <c r="S7" s="11"/>
      <c r="T7" s="12" t="str">
        <f aca="false">IF(OR(R7="",S7=""),"",R7+S7)</f>
        <v/>
      </c>
      <c r="U7" s="11"/>
      <c r="V7" s="12" t="str">
        <f aca="false">IF(T7="","",IF(T7&lt;=4,"А",IF(T7&lt;=7,"В","С")))</f>
        <v/>
      </c>
      <c r="W7" s="11"/>
      <c r="X7" s="11"/>
      <c r="Y7" s="11"/>
      <c r="Z7" s="12" t="str">
        <f aca="false">IF(OR(X7="",Y7=""),"",X7+Y7)</f>
        <v/>
      </c>
      <c r="AA7" s="11"/>
      <c r="AB7" s="12" t="str">
        <f aca="false">IF(Z7="","",IF(Z7&lt;=4,"А",IF(Z7&lt;=7,"В","С")))</f>
        <v/>
      </c>
      <c r="AC7" s="12" t="str">
        <f aca="false">IF(OR(Z7="",G7=""),"",Z7-G7)</f>
        <v/>
      </c>
      <c r="AD7" s="12" t="str">
        <f aca="false">IF(OR(W7="",D7=""),"",W7-D7)</f>
        <v/>
      </c>
    </row>
    <row r="8" customFormat="false" ht="15" hidden="false" customHeight="false" outlineLevel="0" collapsed="false">
      <c r="A8" s="9" t="n">
        <v>5</v>
      </c>
      <c r="B8" s="10"/>
      <c r="C8" s="11"/>
      <c r="D8" s="11"/>
      <c r="E8" s="11"/>
      <c r="F8" s="11"/>
      <c r="G8" s="12" t="str">
        <f aca="false">IF(OR(E8="",F8=""),"",E8+F8)</f>
        <v/>
      </c>
      <c r="H8" s="11"/>
      <c r="I8" s="12" t="str">
        <f aca="false">IF(G8="","",IF(G8&lt;=4,"А",IF(G8&lt;=7,"В","С")))</f>
        <v/>
      </c>
      <c r="J8" s="11"/>
      <c r="K8" s="12" t="str">
        <f aca="false">IF(J8&lt;&gt;"",J8,I8)</f>
        <v/>
      </c>
      <c r="L8" s="12" t="str">
        <f aca="false">IF(P8="","",COUNTIF($P$4:$P$73,"&gt;"&amp;P8)+COUNTIF($P$4:P8,P8))</f>
        <v/>
      </c>
      <c r="M8" s="12" t="str">
        <f aca="false">IF(L8="","",IF(L8&lt;=13,L8,IF(MOD(INT((L8-14)/13),2)=0,13-MOD(L8-14,13),MOD(L8-14,13)+1)))</f>
        <v/>
      </c>
      <c r="N8" s="11"/>
      <c r="O8" s="12" t="str">
        <f aca="false">IF(N8&lt;&gt;"",N8,M8)</f>
        <v/>
      </c>
      <c r="P8" s="12" t="str">
        <f aca="false">IF(G8="","",G8*1000+N(D8))</f>
        <v/>
      </c>
      <c r="Q8" s="11"/>
      <c r="R8" s="11"/>
      <c r="S8" s="11"/>
      <c r="T8" s="12" t="str">
        <f aca="false">IF(OR(R8="",S8=""),"",R8+S8)</f>
        <v/>
      </c>
      <c r="U8" s="11"/>
      <c r="V8" s="12" t="str">
        <f aca="false">IF(T8="","",IF(T8&lt;=4,"А",IF(T8&lt;=7,"В","С")))</f>
        <v/>
      </c>
      <c r="W8" s="11"/>
      <c r="X8" s="11"/>
      <c r="Y8" s="11"/>
      <c r="Z8" s="12" t="str">
        <f aca="false">IF(OR(X8="",Y8=""),"",X8+Y8)</f>
        <v/>
      </c>
      <c r="AA8" s="11"/>
      <c r="AB8" s="12" t="str">
        <f aca="false">IF(Z8="","",IF(Z8&lt;=4,"А",IF(Z8&lt;=7,"В","С")))</f>
        <v/>
      </c>
      <c r="AC8" s="12" t="str">
        <f aca="false">IF(OR(Z8="",G8=""),"",Z8-G8)</f>
        <v/>
      </c>
      <c r="AD8" s="12" t="str">
        <f aca="false">IF(OR(W8="",D8=""),"",W8-D8)</f>
        <v/>
      </c>
    </row>
    <row r="9" customFormat="false" ht="15" hidden="false" customHeight="false" outlineLevel="0" collapsed="false">
      <c r="A9" s="9" t="n">
        <v>6</v>
      </c>
      <c r="B9" s="10"/>
      <c r="C9" s="11"/>
      <c r="D9" s="11"/>
      <c r="E9" s="11"/>
      <c r="F9" s="11"/>
      <c r="G9" s="12" t="str">
        <f aca="false">IF(OR(E9="",F9=""),"",E9+F9)</f>
        <v/>
      </c>
      <c r="H9" s="11"/>
      <c r="I9" s="12" t="str">
        <f aca="false">IF(G9="","",IF(G9&lt;=4,"А",IF(G9&lt;=7,"В","С")))</f>
        <v/>
      </c>
      <c r="J9" s="11"/>
      <c r="K9" s="12" t="str">
        <f aca="false">IF(J9&lt;&gt;"",J9,I9)</f>
        <v/>
      </c>
      <c r="L9" s="12" t="str">
        <f aca="false">IF(P9="","",COUNTIF($P$4:$P$73,"&gt;"&amp;P9)+COUNTIF($P$4:P9,P9))</f>
        <v/>
      </c>
      <c r="M9" s="12" t="str">
        <f aca="false">IF(L9="","",IF(L9&lt;=13,L9,IF(MOD(INT((L9-14)/13),2)=0,13-MOD(L9-14,13),MOD(L9-14,13)+1)))</f>
        <v/>
      </c>
      <c r="N9" s="11"/>
      <c r="O9" s="12" t="str">
        <f aca="false">IF(N9&lt;&gt;"",N9,M9)</f>
        <v/>
      </c>
      <c r="P9" s="12" t="str">
        <f aca="false">IF(G9="","",G9*1000+N(D9))</f>
        <v/>
      </c>
      <c r="Q9" s="11"/>
      <c r="R9" s="11"/>
      <c r="S9" s="11"/>
      <c r="T9" s="12" t="str">
        <f aca="false">IF(OR(R9="",S9=""),"",R9+S9)</f>
        <v/>
      </c>
      <c r="U9" s="11"/>
      <c r="V9" s="12" t="str">
        <f aca="false">IF(T9="","",IF(T9&lt;=4,"А",IF(T9&lt;=7,"В","С")))</f>
        <v/>
      </c>
      <c r="W9" s="11"/>
      <c r="X9" s="11"/>
      <c r="Y9" s="11"/>
      <c r="Z9" s="12" t="str">
        <f aca="false">IF(OR(X9="",Y9=""),"",X9+Y9)</f>
        <v/>
      </c>
      <c r="AA9" s="11"/>
      <c r="AB9" s="12" t="str">
        <f aca="false">IF(Z9="","",IF(Z9&lt;=4,"А",IF(Z9&lt;=7,"В","С")))</f>
        <v/>
      </c>
      <c r="AC9" s="12" t="str">
        <f aca="false">IF(OR(Z9="",G9=""),"",Z9-G9)</f>
        <v/>
      </c>
      <c r="AD9" s="12" t="str">
        <f aca="false">IF(OR(W9="",D9=""),"",W9-D9)</f>
        <v/>
      </c>
    </row>
    <row r="10" customFormat="false" ht="15" hidden="false" customHeight="false" outlineLevel="0" collapsed="false">
      <c r="A10" s="9" t="n">
        <v>7</v>
      </c>
      <c r="B10" s="10"/>
      <c r="C10" s="11"/>
      <c r="D10" s="11"/>
      <c r="E10" s="11"/>
      <c r="F10" s="11"/>
      <c r="G10" s="12" t="str">
        <f aca="false">IF(OR(E10="",F10=""),"",E10+F10)</f>
        <v/>
      </c>
      <c r="H10" s="11"/>
      <c r="I10" s="12" t="str">
        <f aca="false">IF(G10="","",IF(G10&lt;=4,"А",IF(G10&lt;=7,"В","С")))</f>
        <v/>
      </c>
      <c r="J10" s="11"/>
      <c r="K10" s="12" t="str">
        <f aca="false">IF(J10&lt;&gt;"",J10,I10)</f>
        <v/>
      </c>
      <c r="L10" s="12" t="str">
        <f aca="false">IF(P10="","",COUNTIF($P$4:$P$73,"&gt;"&amp;P10)+COUNTIF($P$4:P10,P10))</f>
        <v/>
      </c>
      <c r="M10" s="12" t="str">
        <f aca="false">IF(L10="","",IF(L10&lt;=13,L10,IF(MOD(INT((L10-14)/13),2)=0,13-MOD(L10-14,13),MOD(L10-14,13)+1)))</f>
        <v/>
      </c>
      <c r="N10" s="11"/>
      <c r="O10" s="12" t="str">
        <f aca="false">IF(N10&lt;&gt;"",N10,M10)</f>
        <v/>
      </c>
      <c r="P10" s="12" t="str">
        <f aca="false">IF(G10="","",G10*1000+N(D10))</f>
        <v/>
      </c>
      <c r="Q10" s="11"/>
      <c r="R10" s="11"/>
      <c r="S10" s="11"/>
      <c r="T10" s="12" t="str">
        <f aca="false">IF(OR(R10="",S10=""),"",R10+S10)</f>
        <v/>
      </c>
      <c r="U10" s="11"/>
      <c r="V10" s="12" t="str">
        <f aca="false">IF(T10="","",IF(T10&lt;=4,"А",IF(T10&lt;=7,"В","С")))</f>
        <v/>
      </c>
      <c r="W10" s="11"/>
      <c r="X10" s="11"/>
      <c r="Y10" s="11"/>
      <c r="Z10" s="12" t="str">
        <f aca="false">IF(OR(X10="",Y10=""),"",X10+Y10)</f>
        <v/>
      </c>
      <c r="AA10" s="11"/>
      <c r="AB10" s="12" t="str">
        <f aca="false">IF(Z10="","",IF(Z10&lt;=4,"А",IF(Z10&lt;=7,"В","С")))</f>
        <v/>
      </c>
      <c r="AC10" s="12" t="str">
        <f aca="false">IF(OR(Z10="",G10=""),"",Z10-G10)</f>
        <v/>
      </c>
      <c r="AD10" s="12" t="str">
        <f aca="false">IF(OR(W10="",D10=""),"",W10-D10)</f>
        <v/>
      </c>
    </row>
    <row r="11" customFormat="false" ht="15" hidden="false" customHeight="false" outlineLevel="0" collapsed="false">
      <c r="A11" s="9" t="n">
        <v>8</v>
      </c>
      <c r="B11" s="10"/>
      <c r="C11" s="11"/>
      <c r="D11" s="11"/>
      <c r="E11" s="11"/>
      <c r="F11" s="11"/>
      <c r="G11" s="12" t="str">
        <f aca="false">IF(OR(E11="",F11=""),"",E11+F11)</f>
        <v/>
      </c>
      <c r="H11" s="11"/>
      <c r="I11" s="12" t="str">
        <f aca="false">IF(G11="","",IF(G11&lt;=4,"А",IF(G11&lt;=7,"В","С")))</f>
        <v/>
      </c>
      <c r="J11" s="11"/>
      <c r="K11" s="12" t="str">
        <f aca="false">IF(J11&lt;&gt;"",J11,I11)</f>
        <v/>
      </c>
      <c r="L11" s="12" t="str">
        <f aca="false">IF(P11="","",COUNTIF($P$4:$P$73,"&gt;"&amp;P11)+COUNTIF($P$4:P11,P11))</f>
        <v/>
      </c>
      <c r="M11" s="12" t="str">
        <f aca="false">IF(L11="","",IF(L11&lt;=13,L11,IF(MOD(INT((L11-14)/13),2)=0,13-MOD(L11-14,13),MOD(L11-14,13)+1)))</f>
        <v/>
      </c>
      <c r="N11" s="11"/>
      <c r="O11" s="12" t="str">
        <f aca="false">IF(N11&lt;&gt;"",N11,M11)</f>
        <v/>
      </c>
      <c r="P11" s="12" t="str">
        <f aca="false">IF(G11="","",G11*1000+N(D11))</f>
        <v/>
      </c>
      <c r="Q11" s="11"/>
      <c r="R11" s="11"/>
      <c r="S11" s="11"/>
      <c r="T11" s="12" t="str">
        <f aca="false">IF(OR(R11="",S11=""),"",R11+S11)</f>
        <v/>
      </c>
      <c r="U11" s="11"/>
      <c r="V11" s="12" t="str">
        <f aca="false">IF(T11="","",IF(T11&lt;=4,"А",IF(T11&lt;=7,"В","С")))</f>
        <v/>
      </c>
      <c r="W11" s="11"/>
      <c r="X11" s="11"/>
      <c r="Y11" s="11"/>
      <c r="Z11" s="12" t="str">
        <f aca="false">IF(OR(X11="",Y11=""),"",X11+Y11)</f>
        <v/>
      </c>
      <c r="AA11" s="11"/>
      <c r="AB11" s="12" t="str">
        <f aca="false">IF(Z11="","",IF(Z11&lt;=4,"А",IF(Z11&lt;=7,"В","С")))</f>
        <v/>
      </c>
      <c r="AC11" s="12" t="str">
        <f aca="false">IF(OR(Z11="",G11=""),"",Z11-G11)</f>
        <v/>
      </c>
      <c r="AD11" s="12" t="str">
        <f aca="false">IF(OR(W11="",D11=""),"",W11-D11)</f>
        <v/>
      </c>
    </row>
    <row r="12" customFormat="false" ht="15" hidden="false" customHeight="false" outlineLevel="0" collapsed="false">
      <c r="A12" s="9" t="n">
        <v>9</v>
      </c>
      <c r="B12" s="10"/>
      <c r="C12" s="11"/>
      <c r="D12" s="11"/>
      <c r="E12" s="11"/>
      <c r="F12" s="11"/>
      <c r="G12" s="12" t="str">
        <f aca="false">IF(OR(E12="",F12=""),"",E12+F12)</f>
        <v/>
      </c>
      <c r="H12" s="11"/>
      <c r="I12" s="12" t="str">
        <f aca="false">IF(G12="","",IF(G12&lt;=4,"А",IF(G12&lt;=7,"В","С")))</f>
        <v/>
      </c>
      <c r="J12" s="11"/>
      <c r="K12" s="12" t="str">
        <f aca="false">IF(J12&lt;&gt;"",J12,I12)</f>
        <v/>
      </c>
      <c r="L12" s="12" t="str">
        <f aca="false">IF(P12="","",COUNTIF($P$4:$P$73,"&gt;"&amp;P12)+COUNTIF($P$4:P12,P12))</f>
        <v/>
      </c>
      <c r="M12" s="12" t="str">
        <f aca="false">IF(L12="","",IF(L12&lt;=13,L12,IF(MOD(INT((L12-14)/13),2)=0,13-MOD(L12-14,13),MOD(L12-14,13)+1)))</f>
        <v/>
      </c>
      <c r="N12" s="11"/>
      <c r="O12" s="12" t="str">
        <f aca="false">IF(N12&lt;&gt;"",N12,M12)</f>
        <v/>
      </c>
      <c r="P12" s="12" t="str">
        <f aca="false">IF(G12="","",G12*1000+N(D12))</f>
        <v/>
      </c>
      <c r="Q12" s="11"/>
      <c r="R12" s="11"/>
      <c r="S12" s="11"/>
      <c r="T12" s="12" t="str">
        <f aca="false">IF(OR(R12="",S12=""),"",R12+S12)</f>
        <v/>
      </c>
      <c r="U12" s="11"/>
      <c r="V12" s="12" t="str">
        <f aca="false">IF(T12="","",IF(T12&lt;=4,"А",IF(T12&lt;=7,"В","С")))</f>
        <v/>
      </c>
      <c r="W12" s="11"/>
      <c r="X12" s="11"/>
      <c r="Y12" s="11"/>
      <c r="Z12" s="12" t="str">
        <f aca="false">IF(OR(X12="",Y12=""),"",X12+Y12)</f>
        <v/>
      </c>
      <c r="AA12" s="11"/>
      <c r="AB12" s="12" t="str">
        <f aca="false">IF(Z12="","",IF(Z12&lt;=4,"А",IF(Z12&lt;=7,"В","С")))</f>
        <v/>
      </c>
      <c r="AC12" s="12" t="str">
        <f aca="false">IF(OR(Z12="",G12=""),"",Z12-G12)</f>
        <v/>
      </c>
      <c r="AD12" s="12" t="str">
        <f aca="false">IF(OR(W12="",D12=""),"",W12-D12)</f>
        <v/>
      </c>
    </row>
    <row r="13" customFormat="false" ht="15" hidden="false" customHeight="false" outlineLevel="0" collapsed="false">
      <c r="A13" s="9" t="n">
        <v>10</v>
      </c>
      <c r="B13" s="10"/>
      <c r="C13" s="11"/>
      <c r="D13" s="11"/>
      <c r="E13" s="11"/>
      <c r="F13" s="11"/>
      <c r="G13" s="12" t="str">
        <f aca="false">IF(OR(E13="",F13=""),"",E13+F13)</f>
        <v/>
      </c>
      <c r="H13" s="11"/>
      <c r="I13" s="12" t="str">
        <f aca="false">IF(G13="","",IF(G13&lt;=4,"А",IF(G13&lt;=7,"В","С")))</f>
        <v/>
      </c>
      <c r="J13" s="11"/>
      <c r="K13" s="12" t="str">
        <f aca="false">IF(J13&lt;&gt;"",J13,I13)</f>
        <v/>
      </c>
      <c r="L13" s="12" t="str">
        <f aca="false">IF(P13="","",COUNTIF($P$4:$P$73,"&gt;"&amp;P13)+COUNTIF($P$4:P13,P13))</f>
        <v/>
      </c>
      <c r="M13" s="12" t="str">
        <f aca="false">IF(L13="","",IF(L13&lt;=13,L13,IF(MOD(INT((L13-14)/13),2)=0,13-MOD(L13-14,13),MOD(L13-14,13)+1)))</f>
        <v/>
      </c>
      <c r="N13" s="11"/>
      <c r="O13" s="12" t="str">
        <f aca="false">IF(N13&lt;&gt;"",N13,M13)</f>
        <v/>
      </c>
      <c r="P13" s="12" t="str">
        <f aca="false">IF(G13="","",G13*1000+N(D13))</f>
        <v/>
      </c>
      <c r="Q13" s="11"/>
      <c r="R13" s="11"/>
      <c r="S13" s="11"/>
      <c r="T13" s="12" t="str">
        <f aca="false">IF(OR(R13="",S13=""),"",R13+S13)</f>
        <v/>
      </c>
      <c r="U13" s="11"/>
      <c r="V13" s="12" t="str">
        <f aca="false">IF(T13="","",IF(T13&lt;=4,"А",IF(T13&lt;=7,"В","С")))</f>
        <v/>
      </c>
      <c r="W13" s="11"/>
      <c r="X13" s="11"/>
      <c r="Y13" s="11"/>
      <c r="Z13" s="12" t="str">
        <f aca="false">IF(OR(X13="",Y13=""),"",X13+Y13)</f>
        <v/>
      </c>
      <c r="AA13" s="11"/>
      <c r="AB13" s="12" t="str">
        <f aca="false">IF(Z13="","",IF(Z13&lt;=4,"А",IF(Z13&lt;=7,"В","С")))</f>
        <v/>
      </c>
      <c r="AC13" s="12" t="str">
        <f aca="false">IF(OR(Z13="",G13=""),"",Z13-G13)</f>
        <v/>
      </c>
      <c r="AD13" s="12" t="str">
        <f aca="false">IF(OR(W13="",D13=""),"",W13-D13)</f>
        <v/>
      </c>
    </row>
    <row r="14" customFormat="false" ht="15" hidden="false" customHeight="false" outlineLevel="0" collapsed="false">
      <c r="A14" s="9" t="n">
        <v>11</v>
      </c>
      <c r="B14" s="10"/>
      <c r="C14" s="11"/>
      <c r="D14" s="11"/>
      <c r="E14" s="11"/>
      <c r="F14" s="11"/>
      <c r="G14" s="12" t="str">
        <f aca="false">IF(OR(E14="",F14=""),"",E14+F14)</f>
        <v/>
      </c>
      <c r="H14" s="11"/>
      <c r="I14" s="12" t="str">
        <f aca="false">IF(G14="","",IF(G14&lt;=4,"А",IF(G14&lt;=7,"В","С")))</f>
        <v/>
      </c>
      <c r="J14" s="11"/>
      <c r="K14" s="12" t="str">
        <f aca="false">IF(J14&lt;&gt;"",J14,I14)</f>
        <v/>
      </c>
      <c r="L14" s="12" t="str">
        <f aca="false">IF(P14="","",COUNTIF($P$4:$P$73,"&gt;"&amp;P14)+COUNTIF($P$4:P14,P14))</f>
        <v/>
      </c>
      <c r="M14" s="12" t="str">
        <f aca="false">IF(L14="","",IF(L14&lt;=13,L14,IF(MOD(INT((L14-14)/13),2)=0,13-MOD(L14-14,13),MOD(L14-14,13)+1)))</f>
        <v/>
      </c>
      <c r="N14" s="11"/>
      <c r="O14" s="12" t="str">
        <f aca="false">IF(N14&lt;&gt;"",N14,M14)</f>
        <v/>
      </c>
      <c r="P14" s="12" t="str">
        <f aca="false">IF(G14="","",G14*1000+N(D14))</f>
        <v/>
      </c>
      <c r="Q14" s="11"/>
      <c r="R14" s="11"/>
      <c r="S14" s="11"/>
      <c r="T14" s="12" t="str">
        <f aca="false">IF(OR(R14="",S14=""),"",R14+S14)</f>
        <v/>
      </c>
      <c r="U14" s="11"/>
      <c r="V14" s="12" t="str">
        <f aca="false">IF(T14="","",IF(T14&lt;=4,"А",IF(T14&lt;=7,"В","С")))</f>
        <v/>
      </c>
      <c r="W14" s="11"/>
      <c r="X14" s="11"/>
      <c r="Y14" s="11"/>
      <c r="Z14" s="12" t="str">
        <f aca="false">IF(OR(X14="",Y14=""),"",X14+Y14)</f>
        <v/>
      </c>
      <c r="AA14" s="11"/>
      <c r="AB14" s="12" t="str">
        <f aca="false">IF(Z14="","",IF(Z14&lt;=4,"А",IF(Z14&lt;=7,"В","С")))</f>
        <v/>
      </c>
      <c r="AC14" s="12" t="str">
        <f aca="false">IF(OR(Z14="",G14=""),"",Z14-G14)</f>
        <v/>
      </c>
      <c r="AD14" s="12" t="str">
        <f aca="false">IF(OR(W14="",D14=""),"",W14-D14)</f>
        <v/>
      </c>
    </row>
    <row r="15" customFormat="false" ht="15" hidden="false" customHeight="false" outlineLevel="0" collapsed="false">
      <c r="A15" s="9" t="n">
        <v>12</v>
      </c>
      <c r="B15" s="10"/>
      <c r="C15" s="11"/>
      <c r="D15" s="11"/>
      <c r="E15" s="11"/>
      <c r="F15" s="11"/>
      <c r="G15" s="12" t="str">
        <f aca="false">IF(OR(E15="",F15=""),"",E15+F15)</f>
        <v/>
      </c>
      <c r="H15" s="11"/>
      <c r="I15" s="12" t="str">
        <f aca="false">IF(G15="","",IF(G15&lt;=4,"А",IF(G15&lt;=7,"В","С")))</f>
        <v/>
      </c>
      <c r="J15" s="11"/>
      <c r="K15" s="12" t="str">
        <f aca="false">IF(J15&lt;&gt;"",J15,I15)</f>
        <v/>
      </c>
      <c r="L15" s="12" t="str">
        <f aca="false">IF(P15="","",COUNTIF($P$4:$P$73,"&gt;"&amp;P15)+COUNTIF($P$4:P15,P15))</f>
        <v/>
      </c>
      <c r="M15" s="12" t="str">
        <f aca="false">IF(L15="","",IF(L15&lt;=13,L15,IF(MOD(INT((L15-14)/13),2)=0,13-MOD(L15-14,13),MOD(L15-14,13)+1)))</f>
        <v/>
      </c>
      <c r="N15" s="11"/>
      <c r="O15" s="12" t="str">
        <f aca="false">IF(N15&lt;&gt;"",N15,M15)</f>
        <v/>
      </c>
      <c r="P15" s="12" t="str">
        <f aca="false">IF(G15="","",G15*1000+N(D15))</f>
        <v/>
      </c>
      <c r="Q15" s="11"/>
      <c r="R15" s="11"/>
      <c r="S15" s="11"/>
      <c r="T15" s="12" t="str">
        <f aca="false">IF(OR(R15="",S15=""),"",R15+S15)</f>
        <v/>
      </c>
      <c r="U15" s="11"/>
      <c r="V15" s="12" t="str">
        <f aca="false">IF(T15="","",IF(T15&lt;=4,"А",IF(T15&lt;=7,"В","С")))</f>
        <v/>
      </c>
      <c r="W15" s="11"/>
      <c r="X15" s="11"/>
      <c r="Y15" s="11"/>
      <c r="Z15" s="12" t="str">
        <f aca="false">IF(OR(X15="",Y15=""),"",X15+Y15)</f>
        <v/>
      </c>
      <c r="AA15" s="11"/>
      <c r="AB15" s="12" t="str">
        <f aca="false">IF(Z15="","",IF(Z15&lt;=4,"А",IF(Z15&lt;=7,"В","С")))</f>
        <v/>
      </c>
      <c r="AC15" s="12" t="str">
        <f aca="false">IF(OR(Z15="",G15=""),"",Z15-G15)</f>
        <v/>
      </c>
      <c r="AD15" s="12" t="str">
        <f aca="false">IF(OR(W15="",D15=""),"",W15-D15)</f>
        <v/>
      </c>
    </row>
    <row r="16" customFormat="false" ht="15" hidden="false" customHeight="false" outlineLevel="0" collapsed="false">
      <c r="A16" s="9" t="n">
        <v>13</v>
      </c>
      <c r="B16" s="10"/>
      <c r="C16" s="11"/>
      <c r="D16" s="11"/>
      <c r="E16" s="11"/>
      <c r="F16" s="11"/>
      <c r="G16" s="12" t="str">
        <f aca="false">IF(OR(E16="",F16=""),"",E16+F16)</f>
        <v/>
      </c>
      <c r="H16" s="11"/>
      <c r="I16" s="12" t="str">
        <f aca="false">IF(G16="","",IF(G16&lt;=4,"А",IF(G16&lt;=7,"В","С")))</f>
        <v/>
      </c>
      <c r="J16" s="11"/>
      <c r="K16" s="12" t="str">
        <f aca="false">IF(J16&lt;&gt;"",J16,I16)</f>
        <v/>
      </c>
      <c r="L16" s="12" t="str">
        <f aca="false">IF(P16="","",COUNTIF($P$4:$P$73,"&gt;"&amp;P16)+COUNTIF($P$4:P16,P16))</f>
        <v/>
      </c>
      <c r="M16" s="12" t="str">
        <f aca="false">IF(L16="","",IF(L16&lt;=13,L16,IF(MOD(INT((L16-14)/13),2)=0,13-MOD(L16-14,13),MOD(L16-14,13)+1)))</f>
        <v/>
      </c>
      <c r="N16" s="11"/>
      <c r="O16" s="12" t="str">
        <f aca="false">IF(N16&lt;&gt;"",N16,M16)</f>
        <v/>
      </c>
      <c r="P16" s="12" t="str">
        <f aca="false">IF(G16="","",G16*1000+N(D16))</f>
        <v/>
      </c>
      <c r="Q16" s="11"/>
      <c r="R16" s="11"/>
      <c r="S16" s="11"/>
      <c r="T16" s="12" t="str">
        <f aca="false">IF(OR(R16="",S16=""),"",R16+S16)</f>
        <v/>
      </c>
      <c r="U16" s="11"/>
      <c r="V16" s="12" t="str">
        <f aca="false">IF(T16="","",IF(T16&lt;=4,"А",IF(T16&lt;=7,"В","С")))</f>
        <v/>
      </c>
      <c r="W16" s="11"/>
      <c r="X16" s="11"/>
      <c r="Y16" s="11"/>
      <c r="Z16" s="12" t="str">
        <f aca="false">IF(OR(X16="",Y16=""),"",X16+Y16)</f>
        <v/>
      </c>
      <c r="AA16" s="11"/>
      <c r="AB16" s="12" t="str">
        <f aca="false">IF(Z16="","",IF(Z16&lt;=4,"А",IF(Z16&lt;=7,"В","С")))</f>
        <v/>
      </c>
      <c r="AC16" s="12" t="str">
        <f aca="false">IF(OR(Z16="",G16=""),"",Z16-G16)</f>
        <v/>
      </c>
      <c r="AD16" s="12" t="str">
        <f aca="false">IF(OR(W16="",D16=""),"",W16-D16)</f>
        <v/>
      </c>
    </row>
    <row r="17" customFormat="false" ht="15" hidden="false" customHeight="false" outlineLevel="0" collapsed="false">
      <c r="A17" s="9" t="n">
        <v>14</v>
      </c>
      <c r="B17" s="10"/>
      <c r="C17" s="11"/>
      <c r="D17" s="11"/>
      <c r="E17" s="11"/>
      <c r="F17" s="11"/>
      <c r="G17" s="12" t="str">
        <f aca="false">IF(OR(E17="",F17=""),"",E17+F17)</f>
        <v/>
      </c>
      <c r="H17" s="11"/>
      <c r="I17" s="12" t="str">
        <f aca="false">IF(G17="","",IF(G17&lt;=4,"А",IF(G17&lt;=7,"В","С")))</f>
        <v/>
      </c>
      <c r="J17" s="11"/>
      <c r="K17" s="12" t="str">
        <f aca="false">IF(J17&lt;&gt;"",J17,I17)</f>
        <v/>
      </c>
      <c r="L17" s="12" t="str">
        <f aca="false">IF(P17="","",COUNTIF($P$4:$P$73,"&gt;"&amp;P17)+COUNTIF($P$4:P17,P17))</f>
        <v/>
      </c>
      <c r="M17" s="12" t="str">
        <f aca="false">IF(L17="","",IF(L17&lt;=13,L17,IF(MOD(INT((L17-14)/13),2)=0,13-MOD(L17-14,13),MOD(L17-14,13)+1)))</f>
        <v/>
      </c>
      <c r="N17" s="11"/>
      <c r="O17" s="12" t="str">
        <f aca="false">IF(N17&lt;&gt;"",N17,M17)</f>
        <v/>
      </c>
      <c r="P17" s="12" t="str">
        <f aca="false">IF(G17="","",G17*1000+N(D17))</f>
        <v/>
      </c>
      <c r="Q17" s="11"/>
      <c r="R17" s="11"/>
      <c r="S17" s="11"/>
      <c r="T17" s="12" t="str">
        <f aca="false">IF(OR(R17="",S17=""),"",R17+S17)</f>
        <v/>
      </c>
      <c r="U17" s="11"/>
      <c r="V17" s="12" t="str">
        <f aca="false">IF(T17="","",IF(T17&lt;=4,"А",IF(T17&lt;=7,"В","С")))</f>
        <v/>
      </c>
      <c r="W17" s="11"/>
      <c r="X17" s="11"/>
      <c r="Y17" s="11"/>
      <c r="Z17" s="12" t="str">
        <f aca="false">IF(OR(X17="",Y17=""),"",X17+Y17)</f>
        <v/>
      </c>
      <c r="AA17" s="11"/>
      <c r="AB17" s="12" t="str">
        <f aca="false">IF(Z17="","",IF(Z17&lt;=4,"А",IF(Z17&lt;=7,"В","С")))</f>
        <v/>
      </c>
      <c r="AC17" s="12" t="str">
        <f aca="false">IF(OR(Z17="",G17=""),"",Z17-G17)</f>
        <v/>
      </c>
      <c r="AD17" s="12" t="str">
        <f aca="false">IF(OR(W17="",D17=""),"",W17-D17)</f>
        <v/>
      </c>
    </row>
    <row r="18" customFormat="false" ht="15" hidden="false" customHeight="false" outlineLevel="0" collapsed="false">
      <c r="A18" s="9" t="n">
        <v>15</v>
      </c>
      <c r="B18" s="10"/>
      <c r="C18" s="11"/>
      <c r="D18" s="11"/>
      <c r="E18" s="11"/>
      <c r="F18" s="11"/>
      <c r="G18" s="12" t="str">
        <f aca="false">IF(OR(E18="",F18=""),"",E18+F18)</f>
        <v/>
      </c>
      <c r="H18" s="11"/>
      <c r="I18" s="12" t="str">
        <f aca="false">IF(G18="","",IF(G18&lt;=4,"А",IF(G18&lt;=7,"В","С")))</f>
        <v/>
      </c>
      <c r="J18" s="11"/>
      <c r="K18" s="12" t="str">
        <f aca="false">IF(J18&lt;&gt;"",J18,I18)</f>
        <v/>
      </c>
      <c r="L18" s="12" t="str">
        <f aca="false">IF(P18="","",COUNTIF($P$4:$P$73,"&gt;"&amp;P18)+COUNTIF($P$4:P18,P18))</f>
        <v/>
      </c>
      <c r="M18" s="12" t="str">
        <f aca="false">IF(L18="","",IF(L18&lt;=13,L18,IF(MOD(INT((L18-14)/13),2)=0,13-MOD(L18-14,13),MOD(L18-14,13)+1)))</f>
        <v/>
      </c>
      <c r="N18" s="11"/>
      <c r="O18" s="12" t="str">
        <f aca="false">IF(N18&lt;&gt;"",N18,M18)</f>
        <v/>
      </c>
      <c r="P18" s="12" t="str">
        <f aca="false">IF(G18="","",G18*1000+N(D18))</f>
        <v/>
      </c>
      <c r="Q18" s="11"/>
      <c r="R18" s="11"/>
      <c r="S18" s="11"/>
      <c r="T18" s="12" t="str">
        <f aca="false">IF(OR(R18="",S18=""),"",R18+S18)</f>
        <v/>
      </c>
      <c r="U18" s="11"/>
      <c r="V18" s="12" t="str">
        <f aca="false">IF(T18="","",IF(T18&lt;=4,"А",IF(T18&lt;=7,"В","С")))</f>
        <v/>
      </c>
      <c r="W18" s="11"/>
      <c r="X18" s="11"/>
      <c r="Y18" s="11"/>
      <c r="Z18" s="12" t="str">
        <f aca="false">IF(OR(X18="",Y18=""),"",X18+Y18)</f>
        <v/>
      </c>
      <c r="AA18" s="11"/>
      <c r="AB18" s="12" t="str">
        <f aca="false">IF(Z18="","",IF(Z18&lt;=4,"А",IF(Z18&lt;=7,"В","С")))</f>
        <v/>
      </c>
      <c r="AC18" s="12" t="str">
        <f aca="false">IF(OR(Z18="",G18=""),"",Z18-G18)</f>
        <v/>
      </c>
      <c r="AD18" s="12" t="str">
        <f aca="false">IF(OR(W18="",D18=""),"",W18-D18)</f>
        <v/>
      </c>
    </row>
    <row r="19" customFormat="false" ht="15" hidden="false" customHeight="false" outlineLevel="0" collapsed="false">
      <c r="A19" s="9" t="n">
        <v>16</v>
      </c>
      <c r="B19" s="10"/>
      <c r="C19" s="11"/>
      <c r="D19" s="11"/>
      <c r="E19" s="11"/>
      <c r="F19" s="11"/>
      <c r="G19" s="12" t="str">
        <f aca="false">IF(OR(E19="",F19=""),"",E19+F19)</f>
        <v/>
      </c>
      <c r="H19" s="11"/>
      <c r="I19" s="12" t="str">
        <f aca="false">IF(G19="","",IF(G19&lt;=4,"А",IF(G19&lt;=7,"В","С")))</f>
        <v/>
      </c>
      <c r="J19" s="11"/>
      <c r="K19" s="12" t="str">
        <f aca="false">IF(J19&lt;&gt;"",J19,I19)</f>
        <v/>
      </c>
      <c r="L19" s="12" t="str">
        <f aca="false">IF(P19="","",COUNTIF($P$4:$P$73,"&gt;"&amp;P19)+COUNTIF($P$4:P19,P19))</f>
        <v/>
      </c>
      <c r="M19" s="12" t="str">
        <f aca="false">IF(L19="","",IF(L19&lt;=13,L19,IF(MOD(INT((L19-14)/13),2)=0,13-MOD(L19-14,13),MOD(L19-14,13)+1)))</f>
        <v/>
      </c>
      <c r="N19" s="11"/>
      <c r="O19" s="12" t="str">
        <f aca="false">IF(N19&lt;&gt;"",N19,M19)</f>
        <v/>
      </c>
      <c r="P19" s="12" t="str">
        <f aca="false">IF(G19="","",G19*1000+N(D19))</f>
        <v/>
      </c>
      <c r="Q19" s="11"/>
      <c r="R19" s="11"/>
      <c r="S19" s="11"/>
      <c r="T19" s="12" t="str">
        <f aca="false">IF(OR(R19="",S19=""),"",R19+S19)</f>
        <v/>
      </c>
      <c r="U19" s="11"/>
      <c r="V19" s="12" t="str">
        <f aca="false">IF(T19="","",IF(T19&lt;=4,"А",IF(T19&lt;=7,"В","С")))</f>
        <v/>
      </c>
      <c r="W19" s="11"/>
      <c r="X19" s="11"/>
      <c r="Y19" s="11"/>
      <c r="Z19" s="12" t="str">
        <f aca="false">IF(OR(X19="",Y19=""),"",X19+Y19)</f>
        <v/>
      </c>
      <c r="AA19" s="11"/>
      <c r="AB19" s="12" t="str">
        <f aca="false">IF(Z19="","",IF(Z19&lt;=4,"А",IF(Z19&lt;=7,"В","С")))</f>
        <v/>
      </c>
      <c r="AC19" s="12" t="str">
        <f aca="false">IF(OR(Z19="",G19=""),"",Z19-G19)</f>
        <v/>
      </c>
      <c r="AD19" s="12" t="str">
        <f aca="false">IF(OR(W19="",D19=""),"",W19-D19)</f>
        <v/>
      </c>
    </row>
    <row r="20" customFormat="false" ht="15" hidden="false" customHeight="false" outlineLevel="0" collapsed="false">
      <c r="A20" s="9" t="n">
        <v>17</v>
      </c>
      <c r="B20" s="10"/>
      <c r="C20" s="11"/>
      <c r="D20" s="11"/>
      <c r="E20" s="11"/>
      <c r="F20" s="11"/>
      <c r="G20" s="12" t="str">
        <f aca="false">IF(OR(E20="",F20=""),"",E20+F20)</f>
        <v/>
      </c>
      <c r="H20" s="11"/>
      <c r="I20" s="12" t="str">
        <f aca="false">IF(G20="","",IF(G20&lt;=4,"А",IF(G20&lt;=7,"В","С")))</f>
        <v/>
      </c>
      <c r="J20" s="11"/>
      <c r="K20" s="12" t="str">
        <f aca="false">IF(J20&lt;&gt;"",J20,I20)</f>
        <v/>
      </c>
      <c r="L20" s="12" t="str">
        <f aca="false">IF(P20="","",COUNTIF($P$4:$P$73,"&gt;"&amp;P20)+COUNTIF($P$4:P20,P20))</f>
        <v/>
      </c>
      <c r="M20" s="12" t="str">
        <f aca="false">IF(L20="","",IF(L20&lt;=13,L20,IF(MOD(INT((L20-14)/13),2)=0,13-MOD(L20-14,13),MOD(L20-14,13)+1)))</f>
        <v/>
      </c>
      <c r="N20" s="11"/>
      <c r="O20" s="12" t="str">
        <f aca="false">IF(N20&lt;&gt;"",N20,M20)</f>
        <v/>
      </c>
      <c r="P20" s="12" t="str">
        <f aca="false">IF(G20="","",G20*1000+N(D20))</f>
        <v/>
      </c>
      <c r="Q20" s="11"/>
      <c r="R20" s="11"/>
      <c r="S20" s="11"/>
      <c r="T20" s="12" t="str">
        <f aca="false">IF(OR(R20="",S20=""),"",R20+S20)</f>
        <v/>
      </c>
      <c r="U20" s="11"/>
      <c r="V20" s="12" t="str">
        <f aca="false">IF(T20="","",IF(T20&lt;=4,"А",IF(T20&lt;=7,"В","С")))</f>
        <v/>
      </c>
      <c r="W20" s="11"/>
      <c r="X20" s="11"/>
      <c r="Y20" s="11"/>
      <c r="Z20" s="12" t="str">
        <f aca="false">IF(OR(X20="",Y20=""),"",X20+Y20)</f>
        <v/>
      </c>
      <c r="AA20" s="11"/>
      <c r="AB20" s="12" t="str">
        <f aca="false">IF(Z20="","",IF(Z20&lt;=4,"А",IF(Z20&lt;=7,"В","С")))</f>
        <v/>
      </c>
      <c r="AC20" s="12" t="str">
        <f aca="false">IF(OR(Z20="",G20=""),"",Z20-G20)</f>
        <v/>
      </c>
      <c r="AD20" s="12" t="str">
        <f aca="false">IF(OR(W20="",D20=""),"",W20-D20)</f>
        <v/>
      </c>
    </row>
    <row r="21" customFormat="false" ht="15" hidden="false" customHeight="false" outlineLevel="0" collapsed="false">
      <c r="A21" s="9" t="n">
        <v>18</v>
      </c>
      <c r="B21" s="10"/>
      <c r="C21" s="11"/>
      <c r="D21" s="11"/>
      <c r="E21" s="11"/>
      <c r="F21" s="11"/>
      <c r="G21" s="12" t="str">
        <f aca="false">IF(OR(E21="",F21=""),"",E21+F21)</f>
        <v/>
      </c>
      <c r="H21" s="11"/>
      <c r="I21" s="12" t="str">
        <f aca="false">IF(G21="","",IF(G21&lt;=4,"А",IF(G21&lt;=7,"В","С")))</f>
        <v/>
      </c>
      <c r="J21" s="11"/>
      <c r="K21" s="12" t="str">
        <f aca="false">IF(J21&lt;&gt;"",J21,I21)</f>
        <v/>
      </c>
      <c r="L21" s="12" t="str">
        <f aca="false">IF(P21="","",COUNTIF($P$4:$P$73,"&gt;"&amp;P21)+COUNTIF($P$4:P21,P21))</f>
        <v/>
      </c>
      <c r="M21" s="12" t="str">
        <f aca="false">IF(L21="","",IF(L21&lt;=13,L21,IF(MOD(INT((L21-14)/13),2)=0,13-MOD(L21-14,13),MOD(L21-14,13)+1)))</f>
        <v/>
      </c>
      <c r="N21" s="11"/>
      <c r="O21" s="12" t="str">
        <f aca="false">IF(N21&lt;&gt;"",N21,M21)</f>
        <v/>
      </c>
      <c r="P21" s="12" t="str">
        <f aca="false">IF(G21="","",G21*1000+N(D21))</f>
        <v/>
      </c>
      <c r="Q21" s="11"/>
      <c r="R21" s="11"/>
      <c r="S21" s="11"/>
      <c r="T21" s="12" t="str">
        <f aca="false">IF(OR(R21="",S21=""),"",R21+S21)</f>
        <v/>
      </c>
      <c r="U21" s="11"/>
      <c r="V21" s="12" t="str">
        <f aca="false">IF(T21="","",IF(T21&lt;=4,"А",IF(T21&lt;=7,"В","С")))</f>
        <v/>
      </c>
      <c r="W21" s="11"/>
      <c r="X21" s="11"/>
      <c r="Y21" s="11"/>
      <c r="Z21" s="12" t="str">
        <f aca="false">IF(OR(X21="",Y21=""),"",X21+Y21)</f>
        <v/>
      </c>
      <c r="AA21" s="11"/>
      <c r="AB21" s="12" t="str">
        <f aca="false">IF(Z21="","",IF(Z21&lt;=4,"А",IF(Z21&lt;=7,"В","С")))</f>
        <v/>
      </c>
      <c r="AC21" s="12" t="str">
        <f aca="false">IF(OR(Z21="",G21=""),"",Z21-G21)</f>
        <v/>
      </c>
      <c r="AD21" s="12" t="str">
        <f aca="false">IF(OR(W21="",D21=""),"",W21-D21)</f>
        <v/>
      </c>
    </row>
    <row r="22" customFormat="false" ht="15" hidden="false" customHeight="false" outlineLevel="0" collapsed="false">
      <c r="A22" s="9" t="n">
        <v>19</v>
      </c>
      <c r="B22" s="10"/>
      <c r="C22" s="11"/>
      <c r="D22" s="11"/>
      <c r="E22" s="11"/>
      <c r="F22" s="11"/>
      <c r="G22" s="12" t="str">
        <f aca="false">IF(OR(E22="",F22=""),"",E22+F22)</f>
        <v/>
      </c>
      <c r="H22" s="11"/>
      <c r="I22" s="12" t="str">
        <f aca="false">IF(G22="","",IF(G22&lt;=4,"А",IF(G22&lt;=7,"В","С")))</f>
        <v/>
      </c>
      <c r="J22" s="11"/>
      <c r="K22" s="12" t="str">
        <f aca="false">IF(J22&lt;&gt;"",J22,I22)</f>
        <v/>
      </c>
      <c r="L22" s="12" t="str">
        <f aca="false">IF(P22="","",COUNTIF($P$4:$P$73,"&gt;"&amp;P22)+COUNTIF($P$4:P22,P22))</f>
        <v/>
      </c>
      <c r="M22" s="12" t="str">
        <f aca="false">IF(L22="","",IF(L22&lt;=13,L22,IF(MOD(INT((L22-14)/13),2)=0,13-MOD(L22-14,13),MOD(L22-14,13)+1)))</f>
        <v/>
      </c>
      <c r="N22" s="11"/>
      <c r="O22" s="12" t="str">
        <f aca="false">IF(N22&lt;&gt;"",N22,M22)</f>
        <v/>
      </c>
      <c r="P22" s="12" t="str">
        <f aca="false">IF(G22="","",G22*1000+N(D22))</f>
        <v/>
      </c>
      <c r="Q22" s="11"/>
      <c r="R22" s="11"/>
      <c r="S22" s="11"/>
      <c r="T22" s="12" t="str">
        <f aca="false">IF(OR(R22="",S22=""),"",R22+S22)</f>
        <v/>
      </c>
      <c r="U22" s="11"/>
      <c r="V22" s="12" t="str">
        <f aca="false">IF(T22="","",IF(T22&lt;=4,"А",IF(T22&lt;=7,"В","С")))</f>
        <v/>
      </c>
      <c r="W22" s="11"/>
      <c r="X22" s="11"/>
      <c r="Y22" s="11"/>
      <c r="Z22" s="12" t="str">
        <f aca="false">IF(OR(X22="",Y22=""),"",X22+Y22)</f>
        <v/>
      </c>
      <c r="AA22" s="11"/>
      <c r="AB22" s="12" t="str">
        <f aca="false">IF(Z22="","",IF(Z22&lt;=4,"А",IF(Z22&lt;=7,"В","С")))</f>
        <v/>
      </c>
      <c r="AC22" s="12" t="str">
        <f aca="false">IF(OR(Z22="",G22=""),"",Z22-G22)</f>
        <v/>
      </c>
      <c r="AD22" s="12" t="str">
        <f aca="false">IF(OR(W22="",D22=""),"",W22-D22)</f>
        <v/>
      </c>
    </row>
    <row r="23" customFormat="false" ht="15" hidden="false" customHeight="false" outlineLevel="0" collapsed="false">
      <c r="A23" s="9" t="n">
        <v>20</v>
      </c>
      <c r="B23" s="10"/>
      <c r="C23" s="11"/>
      <c r="D23" s="11"/>
      <c r="E23" s="11"/>
      <c r="F23" s="11"/>
      <c r="G23" s="12" t="str">
        <f aca="false">IF(OR(E23="",F23=""),"",E23+F23)</f>
        <v/>
      </c>
      <c r="H23" s="11"/>
      <c r="I23" s="12" t="str">
        <f aca="false">IF(G23="","",IF(G23&lt;=4,"А",IF(G23&lt;=7,"В","С")))</f>
        <v/>
      </c>
      <c r="J23" s="11"/>
      <c r="K23" s="12" t="str">
        <f aca="false">IF(J23&lt;&gt;"",J23,I23)</f>
        <v/>
      </c>
      <c r="L23" s="12" t="str">
        <f aca="false">IF(P23="","",COUNTIF($P$4:$P$73,"&gt;"&amp;P23)+COUNTIF($P$4:P23,P23))</f>
        <v/>
      </c>
      <c r="M23" s="12" t="str">
        <f aca="false">IF(L23="","",IF(L23&lt;=13,L23,IF(MOD(INT((L23-14)/13),2)=0,13-MOD(L23-14,13),MOD(L23-14,13)+1)))</f>
        <v/>
      </c>
      <c r="N23" s="11"/>
      <c r="O23" s="12" t="str">
        <f aca="false">IF(N23&lt;&gt;"",N23,M23)</f>
        <v/>
      </c>
      <c r="P23" s="12" t="str">
        <f aca="false">IF(G23="","",G23*1000+N(D23))</f>
        <v/>
      </c>
      <c r="Q23" s="11"/>
      <c r="R23" s="11"/>
      <c r="S23" s="11"/>
      <c r="T23" s="12" t="str">
        <f aca="false">IF(OR(R23="",S23=""),"",R23+S23)</f>
        <v/>
      </c>
      <c r="U23" s="11"/>
      <c r="V23" s="12" t="str">
        <f aca="false">IF(T23="","",IF(T23&lt;=4,"А",IF(T23&lt;=7,"В","С")))</f>
        <v/>
      </c>
      <c r="W23" s="11"/>
      <c r="X23" s="11"/>
      <c r="Y23" s="11"/>
      <c r="Z23" s="12" t="str">
        <f aca="false">IF(OR(X23="",Y23=""),"",X23+Y23)</f>
        <v/>
      </c>
      <c r="AA23" s="11"/>
      <c r="AB23" s="12" t="str">
        <f aca="false">IF(Z23="","",IF(Z23&lt;=4,"А",IF(Z23&lt;=7,"В","С")))</f>
        <v/>
      </c>
      <c r="AC23" s="12" t="str">
        <f aca="false">IF(OR(Z23="",G23=""),"",Z23-G23)</f>
        <v/>
      </c>
      <c r="AD23" s="12" t="str">
        <f aca="false">IF(OR(W23="",D23=""),"",W23-D23)</f>
        <v/>
      </c>
    </row>
    <row r="24" customFormat="false" ht="15" hidden="false" customHeight="false" outlineLevel="0" collapsed="false">
      <c r="A24" s="9" t="n">
        <v>21</v>
      </c>
      <c r="B24" s="10"/>
      <c r="C24" s="11"/>
      <c r="D24" s="11"/>
      <c r="E24" s="11"/>
      <c r="F24" s="11"/>
      <c r="G24" s="12" t="str">
        <f aca="false">IF(OR(E24="",F24=""),"",E24+F24)</f>
        <v/>
      </c>
      <c r="H24" s="11"/>
      <c r="I24" s="12" t="str">
        <f aca="false">IF(G24="","",IF(G24&lt;=4,"А",IF(G24&lt;=7,"В","С")))</f>
        <v/>
      </c>
      <c r="J24" s="11"/>
      <c r="K24" s="12" t="str">
        <f aca="false">IF(J24&lt;&gt;"",J24,I24)</f>
        <v/>
      </c>
      <c r="L24" s="12" t="str">
        <f aca="false">IF(P24="","",COUNTIF($P$4:$P$73,"&gt;"&amp;P24)+COUNTIF($P$4:P24,P24))</f>
        <v/>
      </c>
      <c r="M24" s="12" t="str">
        <f aca="false">IF(L24="","",IF(L24&lt;=13,L24,IF(MOD(INT((L24-14)/13),2)=0,13-MOD(L24-14,13),MOD(L24-14,13)+1)))</f>
        <v/>
      </c>
      <c r="N24" s="11"/>
      <c r="O24" s="12" t="str">
        <f aca="false">IF(N24&lt;&gt;"",N24,M24)</f>
        <v/>
      </c>
      <c r="P24" s="12" t="str">
        <f aca="false">IF(G24="","",G24*1000+N(D24))</f>
        <v/>
      </c>
      <c r="Q24" s="11"/>
      <c r="R24" s="11"/>
      <c r="S24" s="11"/>
      <c r="T24" s="12" t="str">
        <f aca="false">IF(OR(R24="",S24=""),"",R24+S24)</f>
        <v/>
      </c>
      <c r="U24" s="11"/>
      <c r="V24" s="12" t="str">
        <f aca="false">IF(T24="","",IF(T24&lt;=4,"А",IF(T24&lt;=7,"В","С")))</f>
        <v/>
      </c>
      <c r="W24" s="11"/>
      <c r="X24" s="11"/>
      <c r="Y24" s="11"/>
      <c r="Z24" s="12" t="str">
        <f aca="false">IF(OR(X24="",Y24=""),"",X24+Y24)</f>
        <v/>
      </c>
      <c r="AA24" s="11"/>
      <c r="AB24" s="12" t="str">
        <f aca="false">IF(Z24="","",IF(Z24&lt;=4,"А",IF(Z24&lt;=7,"В","С")))</f>
        <v/>
      </c>
      <c r="AC24" s="12" t="str">
        <f aca="false">IF(OR(Z24="",G24=""),"",Z24-G24)</f>
        <v/>
      </c>
      <c r="AD24" s="12" t="str">
        <f aca="false">IF(OR(W24="",D24=""),"",W24-D24)</f>
        <v/>
      </c>
    </row>
    <row r="25" customFormat="false" ht="15" hidden="false" customHeight="false" outlineLevel="0" collapsed="false">
      <c r="A25" s="9" t="n">
        <v>22</v>
      </c>
      <c r="B25" s="10"/>
      <c r="C25" s="11"/>
      <c r="D25" s="11"/>
      <c r="E25" s="11"/>
      <c r="F25" s="11"/>
      <c r="G25" s="12" t="str">
        <f aca="false">IF(OR(E25="",F25=""),"",E25+F25)</f>
        <v/>
      </c>
      <c r="H25" s="11"/>
      <c r="I25" s="12" t="str">
        <f aca="false">IF(G25="","",IF(G25&lt;=4,"А",IF(G25&lt;=7,"В","С")))</f>
        <v/>
      </c>
      <c r="J25" s="11"/>
      <c r="K25" s="12" t="str">
        <f aca="false">IF(J25&lt;&gt;"",J25,I25)</f>
        <v/>
      </c>
      <c r="L25" s="12" t="str">
        <f aca="false">IF(P25="","",COUNTIF($P$4:$P$73,"&gt;"&amp;P25)+COUNTIF($P$4:P25,P25))</f>
        <v/>
      </c>
      <c r="M25" s="12" t="str">
        <f aca="false">IF(L25="","",IF(L25&lt;=13,L25,IF(MOD(INT((L25-14)/13),2)=0,13-MOD(L25-14,13),MOD(L25-14,13)+1)))</f>
        <v/>
      </c>
      <c r="N25" s="11"/>
      <c r="O25" s="12" t="str">
        <f aca="false">IF(N25&lt;&gt;"",N25,M25)</f>
        <v/>
      </c>
      <c r="P25" s="12" t="str">
        <f aca="false">IF(G25="","",G25*1000+N(D25))</f>
        <v/>
      </c>
      <c r="Q25" s="11"/>
      <c r="R25" s="11"/>
      <c r="S25" s="11"/>
      <c r="T25" s="12" t="str">
        <f aca="false">IF(OR(R25="",S25=""),"",R25+S25)</f>
        <v/>
      </c>
      <c r="U25" s="11"/>
      <c r="V25" s="12" t="str">
        <f aca="false">IF(T25="","",IF(T25&lt;=4,"А",IF(T25&lt;=7,"В","С")))</f>
        <v/>
      </c>
      <c r="W25" s="11"/>
      <c r="X25" s="11"/>
      <c r="Y25" s="11"/>
      <c r="Z25" s="12" t="str">
        <f aca="false">IF(OR(X25="",Y25=""),"",X25+Y25)</f>
        <v/>
      </c>
      <c r="AA25" s="11"/>
      <c r="AB25" s="12" t="str">
        <f aca="false">IF(Z25="","",IF(Z25&lt;=4,"А",IF(Z25&lt;=7,"В","С")))</f>
        <v/>
      </c>
      <c r="AC25" s="12" t="str">
        <f aca="false">IF(OR(Z25="",G25=""),"",Z25-G25)</f>
        <v/>
      </c>
      <c r="AD25" s="12" t="str">
        <f aca="false">IF(OR(W25="",D25=""),"",W25-D25)</f>
        <v/>
      </c>
    </row>
    <row r="26" customFormat="false" ht="15" hidden="false" customHeight="false" outlineLevel="0" collapsed="false">
      <c r="A26" s="9" t="n">
        <v>23</v>
      </c>
      <c r="B26" s="10"/>
      <c r="C26" s="11"/>
      <c r="D26" s="11"/>
      <c r="E26" s="11"/>
      <c r="F26" s="11"/>
      <c r="G26" s="12" t="str">
        <f aca="false">IF(OR(E26="",F26=""),"",E26+F26)</f>
        <v/>
      </c>
      <c r="H26" s="11"/>
      <c r="I26" s="12" t="str">
        <f aca="false">IF(G26="","",IF(G26&lt;=4,"А",IF(G26&lt;=7,"В","С")))</f>
        <v/>
      </c>
      <c r="J26" s="11"/>
      <c r="K26" s="12" t="str">
        <f aca="false">IF(J26&lt;&gt;"",J26,I26)</f>
        <v/>
      </c>
      <c r="L26" s="12" t="str">
        <f aca="false">IF(P26="","",COUNTIF($P$4:$P$73,"&gt;"&amp;P26)+COUNTIF($P$4:P26,P26))</f>
        <v/>
      </c>
      <c r="M26" s="12" t="str">
        <f aca="false">IF(L26="","",IF(L26&lt;=13,L26,IF(MOD(INT((L26-14)/13),2)=0,13-MOD(L26-14,13),MOD(L26-14,13)+1)))</f>
        <v/>
      </c>
      <c r="N26" s="11"/>
      <c r="O26" s="12" t="str">
        <f aca="false">IF(N26&lt;&gt;"",N26,M26)</f>
        <v/>
      </c>
      <c r="P26" s="12" t="str">
        <f aca="false">IF(G26="","",G26*1000+N(D26))</f>
        <v/>
      </c>
      <c r="Q26" s="11"/>
      <c r="R26" s="11"/>
      <c r="S26" s="11"/>
      <c r="T26" s="12" t="str">
        <f aca="false">IF(OR(R26="",S26=""),"",R26+S26)</f>
        <v/>
      </c>
      <c r="U26" s="11"/>
      <c r="V26" s="12" t="str">
        <f aca="false">IF(T26="","",IF(T26&lt;=4,"А",IF(T26&lt;=7,"В","С")))</f>
        <v/>
      </c>
      <c r="W26" s="11"/>
      <c r="X26" s="11"/>
      <c r="Y26" s="11"/>
      <c r="Z26" s="12" t="str">
        <f aca="false">IF(OR(X26="",Y26=""),"",X26+Y26)</f>
        <v/>
      </c>
      <c r="AA26" s="11"/>
      <c r="AB26" s="12" t="str">
        <f aca="false">IF(Z26="","",IF(Z26&lt;=4,"А",IF(Z26&lt;=7,"В","С")))</f>
        <v/>
      </c>
      <c r="AC26" s="12" t="str">
        <f aca="false">IF(OR(Z26="",G26=""),"",Z26-G26)</f>
        <v/>
      </c>
      <c r="AD26" s="12" t="str">
        <f aca="false">IF(OR(W26="",D26=""),"",W26-D26)</f>
        <v/>
      </c>
    </row>
    <row r="27" customFormat="false" ht="15" hidden="false" customHeight="false" outlineLevel="0" collapsed="false">
      <c r="A27" s="9" t="n">
        <v>24</v>
      </c>
      <c r="B27" s="10"/>
      <c r="C27" s="11"/>
      <c r="D27" s="11"/>
      <c r="E27" s="11"/>
      <c r="F27" s="11"/>
      <c r="G27" s="12" t="str">
        <f aca="false">IF(OR(E27="",F27=""),"",E27+F27)</f>
        <v/>
      </c>
      <c r="H27" s="11"/>
      <c r="I27" s="12" t="str">
        <f aca="false">IF(G27="","",IF(G27&lt;=4,"А",IF(G27&lt;=7,"В","С")))</f>
        <v/>
      </c>
      <c r="J27" s="11"/>
      <c r="K27" s="12" t="str">
        <f aca="false">IF(J27&lt;&gt;"",J27,I27)</f>
        <v/>
      </c>
      <c r="L27" s="12" t="str">
        <f aca="false">IF(P27="","",COUNTIF($P$4:$P$73,"&gt;"&amp;P27)+COUNTIF($P$4:P27,P27))</f>
        <v/>
      </c>
      <c r="M27" s="12" t="str">
        <f aca="false">IF(L27="","",IF(L27&lt;=13,L27,IF(MOD(INT((L27-14)/13),2)=0,13-MOD(L27-14,13),MOD(L27-14,13)+1)))</f>
        <v/>
      </c>
      <c r="N27" s="11"/>
      <c r="O27" s="12" t="str">
        <f aca="false">IF(N27&lt;&gt;"",N27,M27)</f>
        <v/>
      </c>
      <c r="P27" s="12" t="str">
        <f aca="false">IF(G27="","",G27*1000+N(D27))</f>
        <v/>
      </c>
      <c r="Q27" s="11"/>
      <c r="R27" s="11"/>
      <c r="S27" s="11"/>
      <c r="T27" s="12" t="str">
        <f aca="false">IF(OR(R27="",S27=""),"",R27+S27)</f>
        <v/>
      </c>
      <c r="U27" s="11"/>
      <c r="V27" s="12" t="str">
        <f aca="false">IF(T27="","",IF(T27&lt;=4,"А",IF(T27&lt;=7,"В","С")))</f>
        <v/>
      </c>
      <c r="W27" s="11"/>
      <c r="X27" s="11"/>
      <c r="Y27" s="11"/>
      <c r="Z27" s="12" t="str">
        <f aca="false">IF(OR(X27="",Y27=""),"",X27+Y27)</f>
        <v/>
      </c>
      <c r="AA27" s="11"/>
      <c r="AB27" s="12" t="str">
        <f aca="false">IF(Z27="","",IF(Z27&lt;=4,"А",IF(Z27&lt;=7,"В","С")))</f>
        <v/>
      </c>
      <c r="AC27" s="12" t="str">
        <f aca="false">IF(OR(Z27="",G27=""),"",Z27-G27)</f>
        <v/>
      </c>
      <c r="AD27" s="12" t="str">
        <f aca="false">IF(OR(W27="",D27=""),"",W27-D27)</f>
        <v/>
      </c>
    </row>
    <row r="28" customFormat="false" ht="15" hidden="false" customHeight="false" outlineLevel="0" collapsed="false">
      <c r="A28" s="9" t="n">
        <v>25</v>
      </c>
      <c r="B28" s="10"/>
      <c r="C28" s="11"/>
      <c r="D28" s="11"/>
      <c r="E28" s="11"/>
      <c r="F28" s="11"/>
      <c r="G28" s="12" t="str">
        <f aca="false">IF(OR(E28="",F28=""),"",E28+F28)</f>
        <v/>
      </c>
      <c r="H28" s="11"/>
      <c r="I28" s="12" t="str">
        <f aca="false">IF(G28="","",IF(G28&lt;=4,"А",IF(G28&lt;=7,"В","С")))</f>
        <v/>
      </c>
      <c r="J28" s="11"/>
      <c r="K28" s="12" t="str">
        <f aca="false">IF(J28&lt;&gt;"",J28,I28)</f>
        <v/>
      </c>
      <c r="L28" s="12" t="str">
        <f aca="false">IF(P28="","",COUNTIF($P$4:$P$73,"&gt;"&amp;P28)+COUNTIF($P$4:P28,P28))</f>
        <v/>
      </c>
      <c r="M28" s="12" t="str">
        <f aca="false">IF(L28="","",IF(L28&lt;=13,L28,IF(MOD(INT((L28-14)/13),2)=0,13-MOD(L28-14,13),MOD(L28-14,13)+1)))</f>
        <v/>
      </c>
      <c r="N28" s="11"/>
      <c r="O28" s="12" t="str">
        <f aca="false">IF(N28&lt;&gt;"",N28,M28)</f>
        <v/>
      </c>
      <c r="P28" s="12" t="str">
        <f aca="false">IF(G28="","",G28*1000+N(D28))</f>
        <v/>
      </c>
      <c r="Q28" s="11"/>
      <c r="R28" s="11"/>
      <c r="S28" s="11"/>
      <c r="T28" s="12" t="str">
        <f aca="false">IF(OR(R28="",S28=""),"",R28+S28)</f>
        <v/>
      </c>
      <c r="U28" s="11"/>
      <c r="V28" s="12" t="str">
        <f aca="false">IF(T28="","",IF(T28&lt;=4,"А",IF(T28&lt;=7,"В","С")))</f>
        <v/>
      </c>
      <c r="W28" s="11"/>
      <c r="X28" s="11"/>
      <c r="Y28" s="11"/>
      <c r="Z28" s="12" t="str">
        <f aca="false">IF(OR(X28="",Y28=""),"",X28+Y28)</f>
        <v/>
      </c>
      <c r="AA28" s="11"/>
      <c r="AB28" s="12" t="str">
        <f aca="false">IF(Z28="","",IF(Z28&lt;=4,"А",IF(Z28&lt;=7,"В","С")))</f>
        <v/>
      </c>
      <c r="AC28" s="12" t="str">
        <f aca="false">IF(OR(Z28="",G28=""),"",Z28-G28)</f>
        <v/>
      </c>
      <c r="AD28" s="12" t="str">
        <f aca="false">IF(OR(W28="",D28=""),"",W28-D28)</f>
        <v/>
      </c>
    </row>
    <row r="29" customFormat="false" ht="15" hidden="false" customHeight="false" outlineLevel="0" collapsed="false">
      <c r="A29" s="9" t="n">
        <v>26</v>
      </c>
      <c r="B29" s="10"/>
      <c r="C29" s="11"/>
      <c r="D29" s="11"/>
      <c r="E29" s="11"/>
      <c r="F29" s="11"/>
      <c r="G29" s="12" t="str">
        <f aca="false">IF(OR(E29="",F29=""),"",E29+F29)</f>
        <v/>
      </c>
      <c r="H29" s="11"/>
      <c r="I29" s="12" t="str">
        <f aca="false">IF(G29="","",IF(G29&lt;=4,"А",IF(G29&lt;=7,"В","С")))</f>
        <v/>
      </c>
      <c r="J29" s="11"/>
      <c r="K29" s="12" t="str">
        <f aca="false">IF(J29&lt;&gt;"",J29,I29)</f>
        <v/>
      </c>
      <c r="L29" s="12" t="str">
        <f aca="false">IF(P29="","",COUNTIF($P$4:$P$73,"&gt;"&amp;P29)+COUNTIF($P$4:P29,P29))</f>
        <v/>
      </c>
      <c r="M29" s="12" t="str">
        <f aca="false">IF(L29="","",IF(L29&lt;=13,L29,IF(MOD(INT((L29-14)/13),2)=0,13-MOD(L29-14,13),MOD(L29-14,13)+1)))</f>
        <v/>
      </c>
      <c r="N29" s="11"/>
      <c r="O29" s="12" t="str">
        <f aca="false">IF(N29&lt;&gt;"",N29,M29)</f>
        <v/>
      </c>
      <c r="P29" s="12" t="str">
        <f aca="false">IF(G29="","",G29*1000+N(D29))</f>
        <v/>
      </c>
      <c r="Q29" s="11"/>
      <c r="R29" s="11"/>
      <c r="S29" s="11"/>
      <c r="T29" s="12" t="str">
        <f aca="false">IF(OR(R29="",S29=""),"",R29+S29)</f>
        <v/>
      </c>
      <c r="U29" s="11"/>
      <c r="V29" s="12" t="str">
        <f aca="false">IF(T29="","",IF(T29&lt;=4,"А",IF(T29&lt;=7,"В","С")))</f>
        <v/>
      </c>
      <c r="W29" s="11"/>
      <c r="X29" s="11"/>
      <c r="Y29" s="11"/>
      <c r="Z29" s="12" t="str">
        <f aca="false">IF(OR(X29="",Y29=""),"",X29+Y29)</f>
        <v/>
      </c>
      <c r="AA29" s="11"/>
      <c r="AB29" s="12" t="str">
        <f aca="false">IF(Z29="","",IF(Z29&lt;=4,"А",IF(Z29&lt;=7,"В","С")))</f>
        <v/>
      </c>
      <c r="AC29" s="12" t="str">
        <f aca="false">IF(OR(Z29="",G29=""),"",Z29-G29)</f>
        <v/>
      </c>
      <c r="AD29" s="12" t="str">
        <f aca="false">IF(OR(W29="",D29=""),"",W29-D29)</f>
        <v/>
      </c>
    </row>
    <row r="30" customFormat="false" ht="15" hidden="false" customHeight="false" outlineLevel="0" collapsed="false">
      <c r="A30" s="9" t="n">
        <v>27</v>
      </c>
      <c r="B30" s="10"/>
      <c r="C30" s="11"/>
      <c r="D30" s="11"/>
      <c r="E30" s="11"/>
      <c r="F30" s="11"/>
      <c r="G30" s="12" t="str">
        <f aca="false">IF(OR(E30="",F30=""),"",E30+F30)</f>
        <v/>
      </c>
      <c r="H30" s="11"/>
      <c r="I30" s="12" t="str">
        <f aca="false">IF(G30="","",IF(G30&lt;=4,"А",IF(G30&lt;=7,"В","С")))</f>
        <v/>
      </c>
      <c r="J30" s="11"/>
      <c r="K30" s="12" t="str">
        <f aca="false">IF(J30&lt;&gt;"",J30,I30)</f>
        <v/>
      </c>
      <c r="L30" s="12" t="str">
        <f aca="false">IF(P30="","",COUNTIF($P$4:$P$73,"&gt;"&amp;P30)+COUNTIF($P$4:P30,P30))</f>
        <v/>
      </c>
      <c r="M30" s="12" t="str">
        <f aca="false">IF(L30="","",IF(L30&lt;=13,L30,IF(MOD(INT((L30-14)/13),2)=0,13-MOD(L30-14,13),MOD(L30-14,13)+1)))</f>
        <v/>
      </c>
      <c r="N30" s="11"/>
      <c r="O30" s="12" t="str">
        <f aca="false">IF(N30&lt;&gt;"",N30,M30)</f>
        <v/>
      </c>
      <c r="P30" s="12" t="str">
        <f aca="false">IF(G30="","",G30*1000+N(D30))</f>
        <v/>
      </c>
      <c r="Q30" s="11"/>
      <c r="R30" s="11"/>
      <c r="S30" s="11"/>
      <c r="T30" s="12" t="str">
        <f aca="false">IF(OR(R30="",S30=""),"",R30+S30)</f>
        <v/>
      </c>
      <c r="U30" s="11"/>
      <c r="V30" s="12" t="str">
        <f aca="false">IF(T30="","",IF(T30&lt;=4,"А",IF(T30&lt;=7,"В","С")))</f>
        <v/>
      </c>
      <c r="W30" s="11"/>
      <c r="X30" s="11"/>
      <c r="Y30" s="11"/>
      <c r="Z30" s="12" t="str">
        <f aca="false">IF(OR(X30="",Y30=""),"",X30+Y30)</f>
        <v/>
      </c>
      <c r="AA30" s="11"/>
      <c r="AB30" s="12" t="str">
        <f aca="false">IF(Z30="","",IF(Z30&lt;=4,"А",IF(Z30&lt;=7,"В","С")))</f>
        <v/>
      </c>
      <c r="AC30" s="12" t="str">
        <f aca="false">IF(OR(Z30="",G30=""),"",Z30-G30)</f>
        <v/>
      </c>
      <c r="AD30" s="12" t="str">
        <f aca="false">IF(OR(W30="",D30=""),"",W30-D30)</f>
        <v/>
      </c>
    </row>
    <row r="31" customFormat="false" ht="15" hidden="false" customHeight="false" outlineLevel="0" collapsed="false">
      <c r="A31" s="9" t="n">
        <v>28</v>
      </c>
      <c r="B31" s="10"/>
      <c r="C31" s="11"/>
      <c r="D31" s="11"/>
      <c r="E31" s="11"/>
      <c r="F31" s="11"/>
      <c r="G31" s="12" t="str">
        <f aca="false">IF(OR(E31="",F31=""),"",E31+F31)</f>
        <v/>
      </c>
      <c r="H31" s="11"/>
      <c r="I31" s="12" t="str">
        <f aca="false">IF(G31="","",IF(G31&lt;=4,"А",IF(G31&lt;=7,"В","С")))</f>
        <v/>
      </c>
      <c r="J31" s="11"/>
      <c r="K31" s="12" t="str">
        <f aca="false">IF(J31&lt;&gt;"",J31,I31)</f>
        <v/>
      </c>
      <c r="L31" s="12" t="str">
        <f aca="false">IF(P31="","",COUNTIF($P$4:$P$73,"&gt;"&amp;P31)+COUNTIF($P$4:P31,P31))</f>
        <v/>
      </c>
      <c r="M31" s="12" t="str">
        <f aca="false">IF(L31="","",IF(L31&lt;=13,L31,IF(MOD(INT((L31-14)/13),2)=0,13-MOD(L31-14,13),MOD(L31-14,13)+1)))</f>
        <v/>
      </c>
      <c r="N31" s="11"/>
      <c r="O31" s="12" t="str">
        <f aca="false">IF(N31&lt;&gt;"",N31,M31)</f>
        <v/>
      </c>
      <c r="P31" s="12" t="str">
        <f aca="false">IF(G31="","",G31*1000+N(D31))</f>
        <v/>
      </c>
      <c r="Q31" s="11"/>
      <c r="R31" s="11"/>
      <c r="S31" s="11"/>
      <c r="T31" s="12" t="str">
        <f aca="false">IF(OR(R31="",S31=""),"",R31+S31)</f>
        <v/>
      </c>
      <c r="U31" s="11"/>
      <c r="V31" s="12" t="str">
        <f aca="false">IF(T31="","",IF(T31&lt;=4,"А",IF(T31&lt;=7,"В","С")))</f>
        <v/>
      </c>
      <c r="W31" s="11"/>
      <c r="X31" s="11"/>
      <c r="Y31" s="11"/>
      <c r="Z31" s="12" t="str">
        <f aca="false">IF(OR(X31="",Y31=""),"",X31+Y31)</f>
        <v/>
      </c>
      <c r="AA31" s="11"/>
      <c r="AB31" s="12" t="str">
        <f aca="false">IF(Z31="","",IF(Z31&lt;=4,"А",IF(Z31&lt;=7,"В","С")))</f>
        <v/>
      </c>
      <c r="AC31" s="12" t="str">
        <f aca="false">IF(OR(Z31="",G31=""),"",Z31-G31)</f>
        <v/>
      </c>
      <c r="AD31" s="12" t="str">
        <f aca="false">IF(OR(W31="",D31=""),"",W31-D31)</f>
        <v/>
      </c>
    </row>
    <row r="32" customFormat="false" ht="15" hidden="false" customHeight="false" outlineLevel="0" collapsed="false">
      <c r="A32" s="9" t="n">
        <v>29</v>
      </c>
      <c r="B32" s="10"/>
      <c r="C32" s="11"/>
      <c r="D32" s="11"/>
      <c r="E32" s="11"/>
      <c r="F32" s="11"/>
      <c r="G32" s="12" t="str">
        <f aca="false">IF(OR(E32="",F32=""),"",E32+F32)</f>
        <v/>
      </c>
      <c r="H32" s="11"/>
      <c r="I32" s="12" t="str">
        <f aca="false">IF(G32="","",IF(G32&lt;=4,"А",IF(G32&lt;=7,"В","С")))</f>
        <v/>
      </c>
      <c r="J32" s="11"/>
      <c r="K32" s="12" t="str">
        <f aca="false">IF(J32&lt;&gt;"",J32,I32)</f>
        <v/>
      </c>
      <c r="L32" s="12" t="str">
        <f aca="false">IF(P32="","",COUNTIF($P$4:$P$73,"&gt;"&amp;P32)+COUNTIF($P$4:P32,P32))</f>
        <v/>
      </c>
      <c r="M32" s="12" t="str">
        <f aca="false">IF(L32="","",IF(L32&lt;=13,L32,IF(MOD(INT((L32-14)/13),2)=0,13-MOD(L32-14,13),MOD(L32-14,13)+1)))</f>
        <v/>
      </c>
      <c r="N32" s="11"/>
      <c r="O32" s="12" t="str">
        <f aca="false">IF(N32&lt;&gt;"",N32,M32)</f>
        <v/>
      </c>
      <c r="P32" s="12" t="str">
        <f aca="false">IF(G32="","",G32*1000+N(D32))</f>
        <v/>
      </c>
      <c r="Q32" s="11"/>
      <c r="R32" s="11"/>
      <c r="S32" s="11"/>
      <c r="T32" s="12" t="str">
        <f aca="false">IF(OR(R32="",S32=""),"",R32+S32)</f>
        <v/>
      </c>
      <c r="U32" s="11"/>
      <c r="V32" s="12" t="str">
        <f aca="false">IF(T32="","",IF(T32&lt;=4,"А",IF(T32&lt;=7,"В","С")))</f>
        <v/>
      </c>
      <c r="W32" s="11"/>
      <c r="X32" s="11"/>
      <c r="Y32" s="11"/>
      <c r="Z32" s="12" t="str">
        <f aca="false">IF(OR(X32="",Y32=""),"",X32+Y32)</f>
        <v/>
      </c>
      <c r="AA32" s="11"/>
      <c r="AB32" s="12" t="str">
        <f aca="false">IF(Z32="","",IF(Z32&lt;=4,"А",IF(Z32&lt;=7,"В","С")))</f>
        <v/>
      </c>
      <c r="AC32" s="12" t="str">
        <f aca="false">IF(OR(Z32="",G32=""),"",Z32-G32)</f>
        <v/>
      </c>
      <c r="AD32" s="12" t="str">
        <f aca="false">IF(OR(W32="",D32=""),"",W32-D32)</f>
        <v/>
      </c>
    </row>
    <row r="33" customFormat="false" ht="15" hidden="false" customHeight="false" outlineLevel="0" collapsed="false">
      <c r="A33" s="9" t="n">
        <v>30</v>
      </c>
      <c r="B33" s="10"/>
      <c r="C33" s="11"/>
      <c r="D33" s="11"/>
      <c r="E33" s="11"/>
      <c r="F33" s="11"/>
      <c r="G33" s="12" t="str">
        <f aca="false">IF(OR(E33="",F33=""),"",E33+F33)</f>
        <v/>
      </c>
      <c r="H33" s="11"/>
      <c r="I33" s="12" t="str">
        <f aca="false">IF(G33="","",IF(G33&lt;=4,"А",IF(G33&lt;=7,"В","С")))</f>
        <v/>
      </c>
      <c r="J33" s="11"/>
      <c r="K33" s="12" t="str">
        <f aca="false">IF(J33&lt;&gt;"",J33,I33)</f>
        <v/>
      </c>
      <c r="L33" s="12" t="str">
        <f aca="false">IF(P33="","",COUNTIF($P$4:$P$73,"&gt;"&amp;P33)+COUNTIF($P$4:P33,P33))</f>
        <v/>
      </c>
      <c r="M33" s="12" t="str">
        <f aca="false">IF(L33="","",IF(L33&lt;=13,L33,IF(MOD(INT((L33-14)/13),2)=0,13-MOD(L33-14,13),MOD(L33-14,13)+1)))</f>
        <v/>
      </c>
      <c r="N33" s="11"/>
      <c r="O33" s="12" t="str">
        <f aca="false">IF(N33&lt;&gt;"",N33,M33)</f>
        <v/>
      </c>
      <c r="P33" s="12" t="str">
        <f aca="false">IF(G33="","",G33*1000+N(D33))</f>
        <v/>
      </c>
      <c r="Q33" s="11"/>
      <c r="R33" s="11"/>
      <c r="S33" s="11"/>
      <c r="T33" s="12" t="str">
        <f aca="false">IF(OR(R33="",S33=""),"",R33+S33)</f>
        <v/>
      </c>
      <c r="U33" s="11"/>
      <c r="V33" s="12" t="str">
        <f aca="false">IF(T33="","",IF(T33&lt;=4,"А",IF(T33&lt;=7,"В","С")))</f>
        <v/>
      </c>
      <c r="W33" s="11"/>
      <c r="X33" s="11"/>
      <c r="Y33" s="11"/>
      <c r="Z33" s="12" t="str">
        <f aca="false">IF(OR(X33="",Y33=""),"",X33+Y33)</f>
        <v/>
      </c>
      <c r="AA33" s="11"/>
      <c r="AB33" s="12" t="str">
        <f aca="false">IF(Z33="","",IF(Z33&lt;=4,"А",IF(Z33&lt;=7,"В","С")))</f>
        <v/>
      </c>
      <c r="AC33" s="12" t="str">
        <f aca="false">IF(OR(Z33="",G33=""),"",Z33-G33)</f>
        <v/>
      </c>
      <c r="AD33" s="12" t="str">
        <f aca="false">IF(OR(W33="",D33=""),"",W33-D33)</f>
        <v/>
      </c>
    </row>
    <row r="34" customFormat="false" ht="15" hidden="false" customHeight="false" outlineLevel="0" collapsed="false">
      <c r="A34" s="9" t="n">
        <v>31</v>
      </c>
      <c r="B34" s="10"/>
      <c r="C34" s="11"/>
      <c r="D34" s="11"/>
      <c r="E34" s="11"/>
      <c r="F34" s="11"/>
      <c r="G34" s="12" t="str">
        <f aca="false">IF(OR(E34="",F34=""),"",E34+F34)</f>
        <v/>
      </c>
      <c r="H34" s="11"/>
      <c r="I34" s="12" t="str">
        <f aca="false">IF(G34="","",IF(G34&lt;=4,"А",IF(G34&lt;=7,"В","С")))</f>
        <v/>
      </c>
      <c r="J34" s="11"/>
      <c r="K34" s="12" t="str">
        <f aca="false">IF(J34&lt;&gt;"",J34,I34)</f>
        <v/>
      </c>
      <c r="L34" s="12" t="str">
        <f aca="false">IF(P34="","",COUNTIF($P$4:$P$73,"&gt;"&amp;P34)+COUNTIF($P$4:P34,P34))</f>
        <v/>
      </c>
      <c r="M34" s="12" t="str">
        <f aca="false">IF(L34="","",IF(L34&lt;=13,L34,IF(MOD(INT((L34-14)/13),2)=0,13-MOD(L34-14,13),MOD(L34-14,13)+1)))</f>
        <v/>
      </c>
      <c r="N34" s="11"/>
      <c r="O34" s="12" t="str">
        <f aca="false">IF(N34&lt;&gt;"",N34,M34)</f>
        <v/>
      </c>
      <c r="P34" s="12" t="str">
        <f aca="false">IF(G34="","",G34*1000+N(D34))</f>
        <v/>
      </c>
      <c r="Q34" s="11"/>
      <c r="R34" s="11"/>
      <c r="S34" s="11"/>
      <c r="T34" s="12" t="str">
        <f aca="false">IF(OR(R34="",S34=""),"",R34+S34)</f>
        <v/>
      </c>
      <c r="U34" s="11"/>
      <c r="V34" s="12" t="str">
        <f aca="false">IF(T34="","",IF(T34&lt;=4,"А",IF(T34&lt;=7,"В","С")))</f>
        <v/>
      </c>
      <c r="W34" s="11"/>
      <c r="X34" s="11"/>
      <c r="Y34" s="11"/>
      <c r="Z34" s="12" t="str">
        <f aca="false">IF(OR(X34="",Y34=""),"",X34+Y34)</f>
        <v/>
      </c>
      <c r="AA34" s="11"/>
      <c r="AB34" s="12" t="str">
        <f aca="false">IF(Z34="","",IF(Z34&lt;=4,"А",IF(Z34&lt;=7,"В","С")))</f>
        <v/>
      </c>
      <c r="AC34" s="12" t="str">
        <f aca="false">IF(OR(Z34="",G34=""),"",Z34-G34)</f>
        <v/>
      </c>
      <c r="AD34" s="12" t="str">
        <f aca="false">IF(OR(W34="",D34=""),"",W34-D34)</f>
        <v/>
      </c>
    </row>
    <row r="35" customFormat="false" ht="15" hidden="false" customHeight="false" outlineLevel="0" collapsed="false">
      <c r="A35" s="9" t="n">
        <v>32</v>
      </c>
      <c r="B35" s="10"/>
      <c r="C35" s="11"/>
      <c r="D35" s="11"/>
      <c r="E35" s="11"/>
      <c r="F35" s="11"/>
      <c r="G35" s="12" t="str">
        <f aca="false">IF(OR(E35="",F35=""),"",E35+F35)</f>
        <v/>
      </c>
      <c r="H35" s="11"/>
      <c r="I35" s="12" t="str">
        <f aca="false">IF(G35="","",IF(G35&lt;=4,"А",IF(G35&lt;=7,"В","С")))</f>
        <v/>
      </c>
      <c r="J35" s="11"/>
      <c r="K35" s="12" t="str">
        <f aca="false">IF(J35&lt;&gt;"",J35,I35)</f>
        <v/>
      </c>
      <c r="L35" s="12" t="str">
        <f aca="false">IF(P35="","",COUNTIF($P$4:$P$73,"&gt;"&amp;P35)+COUNTIF($P$4:P35,P35))</f>
        <v/>
      </c>
      <c r="M35" s="12" t="str">
        <f aca="false">IF(L35="","",IF(L35&lt;=13,L35,IF(MOD(INT((L35-14)/13),2)=0,13-MOD(L35-14,13),MOD(L35-14,13)+1)))</f>
        <v/>
      </c>
      <c r="N35" s="11"/>
      <c r="O35" s="12" t="str">
        <f aca="false">IF(N35&lt;&gt;"",N35,M35)</f>
        <v/>
      </c>
      <c r="P35" s="12" t="str">
        <f aca="false">IF(G35="","",G35*1000+N(D35))</f>
        <v/>
      </c>
      <c r="Q35" s="11"/>
      <c r="R35" s="11"/>
      <c r="S35" s="11"/>
      <c r="T35" s="12" t="str">
        <f aca="false">IF(OR(R35="",S35=""),"",R35+S35)</f>
        <v/>
      </c>
      <c r="U35" s="11"/>
      <c r="V35" s="12" t="str">
        <f aca="false">IF(T35="","",IF(T35&lt;=4,"А",IF(T35&lt;=7,"В","С")))</f>
        <v/>
      </c>
      <c r="W35" s="11"/>
      <c r="X35" s="11"/>
      <c r="Y35" s="11"/>
      <c r="Z35" s="12" t="str">
        <f aca="false">IF(OR(X35="",Y35=""),"",X35+Y35)</f>
        <v/>
      </c>
      <c r="AA35" s="11"/>
      <c r="AB35" s="12" t="str">
        <f aca="false">IF(Z35="","",IF(Z35&lt;=4,"А",IF(Z35&lt;=7,"В","С")))</f>
        <v/>
      </c>
      <c r="AC35" s="12" t="str">
        <f aca="false">IF(OR(Z35="",G35=""),"",Z35-G35)</f>
        <v/>
      </c>
      <c r="AD35" s="12" t="str">
        <f aca="false">IF(OR(W35="",D35=""),"",W35-D35)</f>
        <v/>
      </c>
    </row>
    <row r="36" customFormat="false" ht="15" hidden="false" customHeight="false" outlineLevel="0" collapsed="false">
      <c r="A36" s="9" t="n">
        <v>33</v>
      </c>
      <c r="B36" s="10"/>
      <c r="C36" s="11"/>
      <c r="D36" s="11"/>
      <c r="E36" s="11"/>
      <c r="F36" s="11"/>
      <c r="G36" s="12" t="str">
        <f aca="false">IF(OR(E36="",F36=""),"",E36+F36)</f>
        <v/>
      </c>
      <c r="H36" s="11"/>
      <c r="I36" s="12" t="str">
        <f aca="false">IF(G36="","",IF(G36&lt;=4,"А",IF(G36&lt;=7,"В","С")))</f>
        <v/>
      </c>
      <c r="J36" s="11"/>
      <c r="K36" s="12" t="str">
        <f aca="false">IF(J36&lt;&gt;"",J36,I36)</f>
        <v/>
      </c>
      <c r="L36" s="12" t="str">
        <f aca="false">IF(P36="","",COUNTIF($P$4:$P$73,"&gt;"&amp;P36)+COUNTIF($P$4:P36,P36))</f>
        <v/>
      </c>
      <c r="M36" s="12" t="str">
        <f aca="false">IF(L36="","",IF(L36&lt;=13,L36,IF(MOD(INT((L36-14)/13),2)=0,13-MOD(L36-14,13),MOD(L36-14,13)+1)))</f>
        <v/>
      </c>
      <c r="N36" s="11"/>
      <c r="O36" s="12" t="str">
        <f aca="false">IF(N36&lt;&gt;"",N36,M36)</f>
        <v/>
      </c>
      <c r="P36" s="12" t="str">
        <f aca="false">IF(G36="","",G36*1000+N(D36))</f>
        <v/>
      </c>
      <c r="Q36" s="11"/>
      <c r="R36" s="11"/>
      <c r="S36" s="11"/>
      <c r="T36" s="12" t="str">
        <f aca="false">IF(OR(R36="",S36=""),"",R36+S36)</f>
        <v/>
      </c>
      <c r="U36" s="11"/>
      <c r="V36" s="12" t="str">
        <f aca="false">IF(T36="","",IF(T36&lt;=4,"А",IF(T36&lt;=7,"В","С")))</f>
        <v/>
      </c>
      <c r="W36" s="11"/>
      <c r="X36" s="11"/>
      <c r="Y36" s="11"/>
      <c r="Z36" s="12" t="str">
        <f aca="false">IF(OR(X36="",Y36=""),"",X36+Y36)</f>
        <v/>
      </c>
      <c r="AA36" s="11"/>
      <c r="AB36" s="12" t="str">
        <f aca="false">IF(Z36="","",IF(Z36&lt;=4,"А",IF(Z36&lt;=7,"В","С")))</f>
        <v/>
      </c>
      <c r="AC36" s="12" t="str">
        <f aca="false">IF(OR(Z36="",G36=""),"",Z36-G36)</f>
        <v/>
      </c>
      <c r="AD36" s="12" t="str">
        <f aca="false">IF(OR(W36="",D36=""),"",W36-D36)</f>
        <v/>
      </c>
    </row>
    <row r="37" customFormat="false" ht="15" hidden="false" customHeight="false" outlineLevel="0" collapsed="false">
      <c r="A37" s="9" t="n">
        <v>34</v>
      </c>
      <c r="B37" s="10"/>
      <c r="C37" s="11"/>
      <c r="D37" s="11"/>
      <c r="E37" s="11"/>
      <c r="F37" s="11"/>
      <c r="G37" s="12" t="str">
        <f aca="false">IF(OR(E37="",F37=""),"",E37+F37)</f>
        <v/>
      </c>
      <c r="H37" s="11"/>
      <c r="I37" s="12" t="str">
        <f aca="false">IF(G37="","",IF(G37&lt;=4,"А",IF(G37&lt;=7,"В","С")))</f>
        <v/>
      </c>
      <c r="J37" s="11"/>
      <c r="K37" s="12" t="str">
        <f aca="false">IF(J37&lt;&gt;"",J37,I37)</f>
        <v/>
      </c>
      <c r="L37" s="12" t="str">
        <f aca="false">IF(P37="","",COUNTIF($P$4:$P$73,"&gt;"&amp;P37)+COUNTIF($P$4:P37,P37))</f>
        <v/>
      </c>
      <c r="M37" s="12" t="str">
        <f aca="false">IF(L37="","",IF(L37&lt;=13,L37,IF(MOD(INT((L37-14)/13),2)=0,13-MOD(L37-14,13),MOD(L37-14,13)+1)))</f>
        <v/>
      </c>
      <c r="N37" s="11"/>
      <c r="O37" s="12" t="str">
        <f aca="false">IF(N37&lt;&gt;"",N37,M37)</f>
        <v/>
      </c>
      <c r="P37" s="12" t="str">
        <f aca="false">IF(G37="","",G37*1000+N(D37))</f>
        <v/>
      </c>
      <c r="Q37" s="11"/>
      <c r="R37" s="11"/>
      <c r="S37" s="11"/>
      <c r="T37" s="12" t="str">
        <f aca="false">IF(OR(R37="",S37=""),"",R37+S37)</f>
        <v/>
      </c>
      <c r="U37" s="11"/>
      <c r="V37" s="12" t="str">
        <f aca="false">IF(T37="","",IF(T37&lt;=4,"А",IF(T37&lt;=7,"В","С")))</f>
        <v/>
      </c>
      <c r="W37" s="11"/>
      <c r="X37" s="11"/>
      <c r="Y37" s="11"/>
      <c r="Z37" s="12" t="str">
        <f aca="false">IF(OR(X37="",Y37=""),"",X37+Y37)</f>
        <v/>
      </c>
      <c r="AA37" s="11"/>
      <c r="AB37" s="12" t="str">
        <f aca="false">IF(Z37="","",IF(Z37&lt;=4,"А",IF(Z37&lt;=7,"В","С")))</f>
        <v/>
      </c>
      <c r="AC37" s="12" t="str">
        <f aca="false">IF(OR(Z37="",G37=""),"",Z37-G37)</f>
        <v/>
      </c>
      <c r="AD37" s="12" t="str">
        <f aca="false">IF(OR(W37="",D37=""),"",W37-D37)</f>
        <v/>
      </c>
    </row>
    <row r="38" customFormat="false" ht="15" hidden="false" customHeight="false" outlineLevel="0" collapsed="false">
      <c r="A38" s="9" t="n">
        <v>35</v>
      </c>
      <c r="B38" s="10"/>
      <c r="C38" s="11"/>
      <c r="D38" s="11"/>
      <c r="E38" s="11"/>
      <c r="F38" s="11"/>
      <c r="G38" s="12" t="str">
        <f aca="false">IF(OR(E38="",F38=""),"",E38+F38)</f>
        <v/>
      </c>
      <c r="H38" s="11"/>
      <c r="I38" s="12" t="str">
        <f aca="false">IF(G38="","",IF(G38&lt;=4,"А",IF(G38&lt;=7,"В","С")))</f>
        <v/>
      </c>
      <c r="J38" s="11"/>
      <c r="K38" s="12" t="str">
        <f aca="false">IF(J38&lt;&gt;"",J38,I38)</f>
        <v/>
      </c>
      <c r="L38" s="12" t="str">
        <f aca="false">IF(P38="","",COUNTIF($P$4:$P$73,"&gt;"&amp;P38)+COUNTIF($P$4:P38,P38))</f>
        <v/>
      </c>
      <c r="M38" s="12" t="str">
        <f aca="false">IF(L38="","",IF(L38&lt;=13,L38,IF(MOD(INT((L38-14)/13),2)=0,13-MOD(L38-14,13),MOD(L38-14,13)+1)))</f>
        <v/>
      </c>
      <c r="N38" s="11"/>
      <c r="O38" s="12" t="str">
        <f aca="false">IF(N38&lt;&gt;"",N38,M38)</f>
        <v/>
      </c>
      <c r="P38" s="12" t="str">
        <f aca="false">IF(G38="","",G38*1000+N(D38))</f>
        <v/>
      </c>
      <c r="Q38" s="11"/>
      <c r="R38" s="11"/>
      <c r="S38" s="11"/>
      <c r="T38" s="12" t="str">
        <f aca="false">IF(OR(R38="",S38=""),"",R38+S38)</f>
        <v/>
      </c>
      <c r="U38" s="11"/>
      <c r="V38" s="12" t="str">
        <f aca="false">IF(T38="","",IF(T38&lt;=4,"А",IF(T38&lt;=7,"В","С")))</f>
        <v/>
      </c>
      <c r="W38" s="11"/>
      <c r="X38" s="11"/>
      <c r="Y38" s="11"/>
      <c r="Z38" s="12" t="str">
        <f aca="false">IF(OR(X38="",Y38=""),"",X38+Y38)</f>
        <v/>
      </c>
      <c r="AA38" s="11"/>
      <c r="AB38" s="12" t="str">
        <f aca="false">IF(Z38="","",IF(Z38&lt;=4,"А",IF(Z38&lt;=7,"В","С")))</f>
        <v/>
      </c>
      <c r="AC38" s="12" t="str">
        <f aca="false">IF(OR(Z38="",G38=""),"",Z38-G38)</f>
        <v/>
      </c>
      <c r="AD38" s="12" t="str">
        <f aca="false">IF(OR(W38="",D38=""),"",W38-D38)</f>
        <v/>
      </c>
    </row>
    <row r="39" customFormat="false" ht="15" hidden="false" customHeight="false" outlineLevel="0" collapsed="false">
      <c r="A39" s="9" t="n">
        <v>36</v>
      </c>
      <c r="B39" s="10"/>
      <c r="C39" s="11"/>
      <c r="D39" s="11"/>
      <c r="E39" s="11"/>
      <c r="F39" s="11"/>
      <c r="G39" s="12" t="str">
        <f aca="false">IF(OR(E39="",F39=""),"",E39+F39)</f>
        <v/>
      </c>
      <c r="H39" s="11"/>
      <c r="I39" s="12" t="str">
        <f aca="false">IF(G39="","",IF(G39&lt;=4,"А",IF(G39&lt;=7,"В","С")))</f>
        <v/>
      </c>
      <c r="J39" s="11"/>
      <c r="K39" s="12" t="str">
        <f aca="false">IF(J39&lt;&gt;"",J39,I39)</f>
        <v/>
      </c>
      <c r="L39" s="12" t="str">
        <f aca="false">IF(P39="","",COUNTIF($P$4:$P$73,"&gt;"&amp;P39)+COUNTIF($P$4:P39,P39))</f>
        <v/>
      </c>
      <c r="M39" s="12" t="str">
        <f aca="false">IF(L39="","",IF(L39&lt;=13,L39,IF(MOD(INT((L39-14)/13),2)=0,13-MOD(L39-14,13),MOD(L39-14,13)+1)))</f>
        <v/>
      </c>
      <c r="N39" s="11"/>
      <c r="O39" s="12" t="str">
        <f aca="false">IF(N39&lt;&gt;"",N39,M39)</f>
        <v/>
      </c>
      <c r="P39" s="12" t="str">
        <f aca="false">IF(G39="","",G39*1000+N(D39))</f>
        <v/>
      </c>
      <c r="Q39" s="11"/>
      <c r="R39" s="11"/>
      <c r="S39" s="11"/>
      <c r="T39" s="12" t="str">
        <f aca="false">IF(OR(R39="",S39=""),"",R39+S39)</f>
        <v/>
      </c>
      <c r="U39" s="11"/>
      <c r="V39" s="12" t="str">
        <f aca="false">IF(T39="","",IF(T39&lt;=4,"А",IF(T39&lt;=7,"В","С")))</f>
        <v/>
      </c>
      <c r="W39" s="11"/>
      <c r="X39" s="11"/>
      <c r="Y39" s="11"/>
      <c r="Z39" s="12" t="str">
        <f aca="false">IF(OR(X39="",Y39=""),"",X39+Y39)</f>
        <v/>
      </c>
      <c r="AA39" s="11"/>
      <c r="AB39" s="12" t="str">
        <f aca="false">IF(Z39="","",IF(Z39&lt;=4,"А",IF(Z39&lt;=7,"В","С")))</f>
        <v/>
      </c>
      <c r="AC39" s="12" t="str">
        <f aca="false">IF(OR(Z39="",G39=""),"",Z39-G39)</f>
        <v/>
      </c>
      <c r="AD39" s="12" t="str">
        <f aca="false">IF(OR(W39="",D39=""),"",W39-D39)</f>
        <v/>
      </c>
    </row>
    <row r="40" customFormat="false" ht="15" hidden="false" customHeight="false" outlineLevel="0" collapsed="false">
      <c r="A40" s="9" t="n">
        <v>37</v>
      </c>
      <c r="B40" s="10"/>
      <c r="C40" s="11"/>
      <c r="D40" s="11"/>
      <c r="E40" s="11"/>
      <c r="F40" s="11"/>
      <c r="G40" s="12" t="str">
        <f aca="false">IF(OR(E40="",F40=""),"",E40+F40)</f>
        <v/>
      </c>
      <c r="H40" s="11"/>
      <c r="I40" s="12" t="str">
        <f aca="false">IF(G40="","",IF(G40&lt;=4,"А",IF(G40&lt;=7,"В","С")))</f>
        <v/>
      </c>
      <c r="J40" s="11"/>
      <c r="K40" s="12" t="str">
        <f aca="false">IF(J40&lt;&gt;"",J40,I40)</f>
        <v/>
      </c>
      <c r="L40" s="12" t="str">
        <f aca="false">IF(P40="","",COUNTIF($P$4:$P$73,"&gt;"&amp;P40)+COUNTIF($P$4:P40,P40))</f>
        <v/>
      </c>
      <c r="M40" s="12" t="str">
        <f aca="false">IF(L40="","",IF(L40&lt;=13,L40,IF(MOD(INT((L40-14)/13),2)=0,13-MOD(L40-14,13),MOD(L40-14,13)+1)))</f>
        <v/>
      </c>
      <c r="N40" s="11"/>
      <c r="O40" s="12" t="str">
        <f aca="false">IF(N40&lt;&gt;"",N40,M40)</f>
        <v/>
      </c>
      <c r="P40" s="12" t="str">
        <f aca="false">IF(G40="","",G40*1000+N(D40))</f>
        <v/>
      </c>
      <c r="Q40" s="11"/>
      <c r="R40" s="11"/>
      <c r="S40" s="11"/>
      <c r="T40" s="12" t="str">
        <f aca="false">IF(OR(R40="",S40=""),"",R40+S40)</f>
        <v/>
      </c>
      <c r="U40" s="11"/>
      <c r="V40" s="12" t="str">
        <f aca="false">IF(T40="","",IF(T40&lt;=4,"А",IF(T40&lt;=7,"В","С")))</f>
        <v/>
      </c>
      <c r="W40" s="11"/>
      <c r="X40" s="11"/>
      <c r="Y40" s="11"/>
      <c r="Z40" s="12" t="str">
        <f aca="false">IF(OR(X40="",Y40=""),"",X40+Y40)</f>
        <v/>
      </c>
      <c r="AA40" s="11"/>
      <c r="AB40" s="12" t="str">
        <f aca="false">IF(Z40="","",IF(Z40&lt;=4,"А",IF(Z40&lt;=7,"В","С")))</f>
        <v/>
      </c>
      <c r="AC40" s="12" t="str">
        <f aca="false">IF(OR(Z40="",G40=""),"",Z40-G40)</f>
        <v/>
      </c>
      <c r="AD40" s="12" t="str">
        <f aca="false">IF(OR(W40="",D40=""),"",W40-D40)</f>
        <v/>
      </c>
    </row>
    <row r="41" customFormat="false" ht="15" hidden="false" customHeight="false" outlineLevel="0" collapsed="false">
      <c r="A41" s="9" t="n">
        <v>38</v>
      </c>
      <c r="B41" s="10"/>
      <c r="C41" s="11"/>
      <c r="D41" s="11"/>
      <c r="E41" s="11"/>
      <c r="F41" s="11"/>
      <c r="G41" s="12" t="str">
        <f aca="false">IF(OR(E41="",F41=""),"",E41+F41)</f>
        <v/>
      </c>
      <c r="H41" s="11"/>
      <c r="I41" s="12" t="str">
        <f aca="false">IF(G41="","",IF(G41&lt;=4,"А",IF(G41&lt;=7,"В","С")))</f>
        <v/>
      </c>
      <c r="J41" s="11"/>
      <c r="K41" s="12" t="str">
        <f aca="false">IF(J41&lt;&gt;"",J41,I41)</f>
        <v/>
      </c>
      <c r="L41" s="12" t="str">
        <f aca="false">IF(P41="","",COUNTIF($P$4:$P$73,"&gt;"&amp;P41)+COUNTIF($P$4:P41,P41))</f>
        <v/>
      </c>
      <c r="M41" s="12" t="str">
        <f aca="false">IF(L41="","",IF(L41&lt;=13,L41,IF(MOD(INT((L41-14)/13),2)=0,13-MOD(L41-14,13),MOD(L41-14,13)+1)))</f>
        <v/>
      </c>
      <c r="N41" s="11"/>
      <c r="O41" s="12" t="str">
        <f aca="false">IF(N41&lt;&gt;"",N41,M41)</f>
        <v/>
      </c>
      <c r="P41" s="12" t="str">
        <f aca="false">IF(G41="","",G41*1000+N(D41))</f>
        <v/>
      </c>
      <c r="Q41" s="11"/>
      <c r="R41" s="11"/>
      <c r="S41" s="11"/>
      <c r="T41" s="12" t="str">
        <f aca="false">IF(OR(R41="",S41=""),"",R41+S41)</f>
        <v/>
      </c>
      <c r="U41" s="11"/>
      <c r="V41" s="12" t="str">
        <f aca="false">IF(T41="","",IF(T41&lt;=4,"А",IF(T41&lt;=7,"В","С")))</f>
        <v/>
      </c>
      <c r="W41" s="11"/>
      <c r="X41" s="11"/>
      <c r="Y41" s="11"/>
      <c r="Z41" s="12" t="str">
        <f aca="false">IF(OR(X41="",Y41=""),"",X41+Y41)</f>
        <v/>
      </c>
      <c r="AA41" s="11"/>
      <c r="AB41" s="12" t="str">
        <f aca="false">IF(Z41="","",IF(Z41&lt;=4,"А",IF(Z41&lt;=7,"В","С")))</f>
        <v/>
      </c>
      <c r="AC41" s="12" t="str">
        <f aca="false">IF(OR(Z41="",G41=""),"",Z41-G41)</f>
        <v/>
      </c>
      <c r="AD41" s="12" t="str">
        <f aca="false">IF(OR(W41="",D41=""),"",W41-D41)</f>
        <v/>
      </c>
    </row>
    <row r="42" customFormat="false" ht="15" hidden="false" customHeight="false" outlineLevel="0" collapsed="false">
      <c r="A42" s="9" t="n">
        <v>39</v>
      </c>
      <c r="B42" s="10"/>
      <c r="C42" s="11"/>
      <c r="D42" s="11"/>
      <c r="E42" s="11"/>
      <c r="F42" s="11"/>
      <c r="G42" s="12" t="str">
        <f aca="false">IF(OR(E42="",F42=""),"",E42+F42)</f>
        <v/>
      </c>
      <c r="H42" s="11"/>
      <c r="I42" s="12" t="str">
        <f aca="false">IF(G42="","",IF(G42&lt;=4,"А",IF(G42&lt;=7,"В","С")))</f>
        <v/>
      </c>
      <c r="J42" s="11"/>
      <c r="K42" s="12" t="str">
        <f aca="false">IF(J42&lt;&gt;"",J42,I42)</f>
        <v/>
      </c>
      <c r="L42" s="12" t="str">
        <f aca="false">IF(P42="","",COUNTIF($P$4:$P$73,"&gt;"&amp;P42)+COUNTIF($P$4:P42,P42))</f>
        <v/>
      </c>
      <c r="M42" s="12" t="str">
        <f aca="false">IF(L42="","",IF(L42&lt;=13,L42,IF(MOD(INT((L42-14)/13),2)=0,13-MOD(L42-14,13),MOD(L42-14,13)+1)))</f>
        <v/>
      </c>
      <c r="N42" s="11"/>
      <c r="O42" s="12" t="str">
        <f aca="false">IF(N42&lt;&gt;"",N42,M42)</f>
        <v/>
      </c>
      <c r="P42" s="12" t="str">
        <f aca="false">IF(G42="","",G42*1000+N(D42))</f>
        <v/>
      </c>
      <c r="Q42" s="11"/>
      <c r="R42" s="11"/>
      <c r="S42" s="11"/>
      <c r="T42" s="12" t="str">
        <f aca="false">IF(OR(R42="",S42=""),"",R42+S42)</f>
        <v/>
      </c>
      <c r="U42" s="11"/>
      <c r="V42" s="12" t="str">
        <f aca="false">IF(T42="","",IF(T42&lt;=4,"А",IF(T42&lt;=7,"В","С")))</f>
        <v/>
      </c>
      <c r="W42" s="11"/>
      <c r="X42" s="11"/>
      <c r="Y42" s="11"/>
      <c r="Z42" s="12" t="str">
        <f aca="false">IF(OR(X42="",Y42=""),"",X42+Y42)</f>
        <v/>
      </c>
      <c r="AA42" s="11"/>
      <c r="AB42" s="12" t="str">
        <f aca="false">IF(Z42="","",IF(Z42&lt;=4,"А",IF(Z42&lt;=7,"В","С")))</f>
        <v/>
      </c>
      <c r="AC42" s="12" t="str">
        <f aca="false">IF(OR(Z42="",G42=""),"",Z42-G42)</f>
        <v/>
      </c>
      <c r="AD42" s="12" t="str">
        <f aca="false">IF(OR(W42="",D42=""),"",W42-D42)</f>
        <v/>
      </c>
    </row>
    <row r="43" customFormat="false" ht="15" hidden="false" customHeight="false" outlineLevel="0" collapsed="false">
      <c r="A43" s="9" t="n">
        <v>40</v>
      </c>
      <c r="B43" s="10"/>
      <c r="C43" s="11"/>
      <c r="D43" s="11"/>
      <c r="E43" s="11"/>
      <c r="F43" s="11"/>
      <c r="G43" s="12" t="str">
        <f aca="false">IF(OR(E43="",F43=""),"",E43+F43)</f>
        <v/>
      </c>
      <c r="H43" s="11"/>
      <c r="I43" s="12" t="str">
        <f aca="false">IF(G43="","",IF(G43&lt;=4,"А",IF(G43&lt;=7,"В","С")))</f>
        <v/>
      </c>
      <c r="J43" s="11"/>
      <c r="K43" s="12" t="str">
        <f aca="false">IF(J43&lt;&gt;"",J43,I43)</f>
        <v/>
      </c>
      <c r="L43" s="12" t="str">
        <f aca="false">IF(P43="","",COUNTIF($P$4:$P$73,"&gt;"&amp;P43)+COUNTIF($P$4:P43,P43))</f>
        <v/>
      </c>
      <c r="M43" s="12" t="str">
        <f aca="false">IF(L43="","",IF(L43&lt;=13,L43,IF(MOD(INT((L43-14)/13),2)=0,13-MOD(L43-14,13),MOD(L43-14,13)+1)))</f>
        <v/>
      </c>
      <c r="N43" s="11"/>
      <c r="O43" s="12" t="str">
        <f aca="false">IF(N43&lt;&gt;"",N43,M43)</f>
        <v/>
      </c>
      <c r="P43" s="12" t="str">
        <f aca="false">IF(G43="","",G43*1000+N(D43))</f>
        <v/>
      </c>
      <c r="Q43" s="11"/>
      <c r="R43" s="11"/>
      <c r="S43" s="11"/>
      <c r="T43" s="12" t="str">
        <f aca="false">IF(OR(R43="",S43=""),"",R43+S43)</f>
        <v/>
      </c>
      <c r="U43" s="11"/>
      <c r="V43" s="12" t="str">
        <f aca="false">IF(T43="","",IF(T43&lt;=4,"А",IF(T43&lt;=7,"В","С")))</f>
        <v/>
      </c>
      <c r="W43" s="11"/>
      <c r="X43" s="11"/>
      <c r="Y43" s="11"/>
      <c r="Z43" s="12" t="str">
        <f aca="false">IF(OR(X43="",Y43=""),"",X43+Y43)</f>
        <v/>
      </c>
      <c r="AA43" s="11"/>
      <c r="AB43" s="12" t="str">
        <f aca="false">IF(Z43="","",IF(Z43&lt;=4,"А",IF(Z43&lt;=7,"В","С")))</f>
        <v/>
      </c>
      <c r="AC43" s="12" t="str">
        <f aca="false">IF(OR(Z43="",G43=""),"",Z43-G43)</f>
        <v/>
      </c>
      <c r="AD43" s="12" t="str">
        <f aca="false">IF(OR(W43="",D43=""),"",W43-D43)</f>
        <v/>
      </c>
    </row>
    <row r="44" customFormat="false" ht="15" hidden="false" customHeight="false" outlineLevel="0" collapsed="false">
      <c r="A44" s="9" t="n">
        <v>41</v>
      </c>
      <c r="B44" s="10"/>
      <c r="C44" s="11"/>
      <c r="D44" s="11"/>
      <c r="E44" s="11"/>
      <c r="F44" s="11"/>
      <c r="G44" s="12" t="str">
        <f aca="false">IF(OR(E44="",F44=""),"",E44+F44)</f>
        <v/>
      </c>
      <c r="H44" s="11"/>
      <c r="I44" s="12" t="str">
        <f aca="false">IF(G44="","",IF(G44&lt;=4,"А",IF(G44&lt;=7,"В","С")))</f>
        <v/>
      </c>
      <c r="J44" s="11"/>
      <c r="K44" s="12" t="str">
        <f aca="false">IF(J44&lt;&gt;"",J44,I44)</f>
        <v/>
      </c>
      <c r="L44" s="12" t="str">
        <f aca="false">IF(P44="","",COUNTIF($P$4:$P$73,"&gt;"&amp;P44)+COUNTIF($P$4:P44,P44))</f>
        <v/>
      </c>
      <c r="M44" s="12" t="str">
        <f aca="false">IF(L44="","",IF(L44&lt;=13,L44,IF(MOD(INT((L44-14)/13),2)=0,13-MOD(L44-14,13),MOD(L44-14,13)+1)))</f>
        <v/>
      </c>
      <c r="N44" s="11"/>
      <c r="O44" s="12" t="str">
        <f aca="false">IF(N44&lt;&gt;"",N44,M44)</f>
        <v/>
      </c>
      <c r="P44" s="12" t="str">
        <f aca="false">IF(G44="","",G44*1000+N(D44))</f>
        <v/>
      </c>
      <c r="Q44" s="11"/>
      <c r="R44" s="11"/>
      <c r="S44" s="11"/>
      <c r="T44" s="12" t="str">
        <f aca="false">IF(OR(R44="",S44=""),"",R44+S44)</f>
        <v/>
      </c>
      <c r="U44" s="11"/>
      <c r="V44" s="12" t="str">
        <f aca="false">IF(T44="","",IF(T44&lt;=4,"А",IF(T44&lt;=7,"В","С")))</f>
        <v/>
      </c>
      <c r="W44" s="11"/>
      <c r="X44" s="11"/>
      <c r="Y44" s="11"/>
      <c r="Z44" s="12" t="str">
        <f aca="false">IF(OR(X44="",Y44=""),"",X44+Y44)</f>
        <v/>
      </c>
      <c r="AA44" s="11"/>
      <c r="AB44" s="12" t="str">
        <f aca="false">IF(Z44="","",IF(Z44&lt;=4,"А",IF(Z44&lt;=7,"В","С")))</f>
        <v/>
      </c>
      <c r="AC44" s="12" t="str">
        <f aca="false">IF(OR(Z44="",G44=""),"",Z44-G44)</f>
        <v/>
      </c>
      <c r="AD44" s="12" t="str">
        <f aca="false">IF(OR(W44="",D44=""),"",W44-D44)</f>
        <v/>
      </c>
    </row>
    <row r="45" customFormat="false" ht="15" hidden="false" customHeight="false" outlineLevel="0" collapsed="false">
      <c r="A45" s="9" t="n">
        <v>42</v>
      </c>
      <c r="B45" s="10"/>
      <c r="C45" s="11"/>
      <c r="D45" s="11"/>
      <c r="E45" s="11"/>
      <c r="F45" s="11"/>
      <c r="G45" s="12" t="str">
        <f aca="false">IF(OR(E45="",F45=""),"",E45+F45)</f>
        <v/>
      </c>
      <c r="H45" s="11"/>
      <c r="I45" s="12" t="str">
        <f aca="false">IF(G45="","",IF(G45&lt;=4,"А",IF(G45&lt;=7,"В","С")))</f>
        <v/>
      </c>
      <c r="J45" s="11"/>
      <c r="K45" s="12" t="str">
        <f aca="false">IF(J45&lt;&gt;"",J45,I45)</f>
        <v/>
      </c>
      <c r="L45" s="12" t="str">
        <f aca="false">IF(P45="","",COUNTIF($P$4:$P$73,"&gt;"&amp;P45)+COUNTIF($P$4:P45,P45))</f>
        <v/>
      </c>
      <c r="M45" s="12" t="str">
        <f aca="false">IF(L45="","",IF(L45&lt;=13,L45,IF(MOD(INT((L45-14)/13),2)=0,13-MOD(L45-14,13),MOD(L45-14,13)+1)))</f>
        <v/>
      </c>
      <c r="N45" s="11"/>
      <c r="O45" s="12" t="str">
        <f aca="false">IF(N45&lt;&gt;"",N45,M45)</f>
        <v/>
      </c>
      <c r="P45" s="12" t="str">
        <f aca="false">IF(G45="","",G45*1000+N(D45))</f>
        <v/>
      </c>
      <c r="Q45" s="11"/>
      <c r="R45" s="11"/>
      <c r="S45" s="11"/>
      <c r="T45" s="12" t="str">
        <f aca="false">IF(OR(R45="",S45=""),"",R45+S45)</f>
        <v/>
      </c>
      <c r="U45" s="11"/>
      <c r="V45" s="12" t="str">
        <f aca="false">IF(T45="","",IF(T45&lt;=4,"А",IF(T45&lt;=7,"В","С")))</f>
        <v/>
      </c>
      <c r="W45" s="11"/>
      <c r="X45" s="11"/>
      <c r="Y45" s="11"/>
      <c r="Z45" s="12" t="str">
        <f aca="false">IF(OR(X45="",Y45=""),"",X45+Y45)</f>
        <v/>
      </c>
      <c r="AA45" s="11"/>
      <c r="AB45" s="12" t="str">
        <f aca="false">IF(Z45="","",IF(Z45&lt;=4,"А",IF(Z45&lt;=7,"В","С")))</f>
        <v/>
      </c>
      <c r="AC45" s="12" t="str">
        <f aca="false">IF(OR(Z45="",G45=""),"",Z45-G45)</f>
        <v/>
      </c>
      <c r="AD45" s="12" t="str">
        <f aca="false">IF(OR(W45="",D45=""),"",W45-D45)</f>
        <v/>
      </c>
    </row>
    <row r="46" customFormat="false" ht="15" hidden="false" customHeight="false" outlineLevel="0" collapsed="false">
      <c r="A46" s="9" t="n">
        <v>43</v>
      </c>
      <c r="B46" s="10"/>
      <c r="C46" s="11"/>
      <c r="D46" s="11"/>
      <c r="E46" s="11"/>
      <c r="F46" s="11"/>
      <c r="G46" s="12" t="str">
        <f aca="false">IF(OR(E46="",F46=""),"",E46+F46)</f>
        <v/>
      </c>
      <c r="H46" s="11"/>
      <c r="I46" s="12" t="str">
        <f aca="false">IF(G46="","",IF(G46&lt;=4,"А",IF(G46&lt;=7,"В","С")))</f>
        <v/>
      </c>
      <c r="J46" s="11"/>
      <c r="K46" s="12" t="str">
        <f aca="false">IF(J46&lt;&gt;"",J46,I46)</f>
        <v/>
      </c>
      <c r="L46" s="12" t="str">
        <f aca="false">IF(P46="","",COUNTIF($P$4:$P$73,"&gt;"&amp;P46)+COUNTIF($P$4:P46,P46))</f>
        <v/>
      </c>
      <c r="M46" s="12" t="str">
        <f aca="false">IF(L46="","",IF(L46&lt;=13,L46,IF(MOD(INT((L46-14)/13),2)=0,13-MOD(L46-14,13),MOD(L46-14,13)+1)))</f>
        <v/>
      </c>
      <c r="N46" s="11"/>
      <c r="O46" s="12" t="str">
        <f aca="false">IF(N46&lt;&gt;"",N46,M46)</f>
        <v/>
      </c>
      <c r="P46" s="12" t="str">
        <f aca="false">IF(G46="","",G46*1000+N(D46))</f>
        <v/>
      </c>
      <c r="Q46" s="11"/>
      <c r="R46" s="11"/>
      <c r="S46" s="11"/>
      <c r="T46" s="12" t="str">
        <f aca="false">IF(OR(R46="",S46=""),"",R46+S46)</f>
        <v/>
      </c>
      <c r="U46" s="11"/>
      <c r="V46" s="12" t="str">
        <f aca="false">IF(T46="","",IF(T46&lt;=4,"А",IF(T46&lt;=7,"В","С")))</f>
        <v/>
      </c>
      <c r="W46" s="11"/>
      <c r="X46" s="11"/>
      <c r="Y46" s="11"/>
      <c r="Z46" s="12" t="str">
        <f aca="false">IF(OR(X46="",Y46=""),"",X46+Y46)</f>
        <v/>
      </c>
      <c r="AA46" s="11"/>
      <c r="AB46" s="12" t="str">
        <f aca="false">IF(Z46="","",IF(Z46&lt;=4,"А",IF(Z46&lt;=7,"В","С")))</f>
        <v/>
      </c>
      <c r="AC46" s="12" t="str">
        <f aca="false">IF(OR(Z46="",G46=""),"",Z46-G46)</f>
        <v/>
      </c>
      <c r="AD46" s="12" t="str">
        <f aca="false">IF(OR(W46="",D46=""),"",W46-D46)</f>
        <v/>
      </c>
    </row>
    <row r="47" customFormat="false" ht="15" hidden="false" customHeight="false" outlineLevel="0" collapsed="false">
      <c r="A47" s="9" t="n">
        <v>44</v>
      </c>
      <c r="B47" s="10"/>
      <c r="C47" s="11"/>
      <c r="D47" s="11"/>
      <c r="E47" s="11"/>
      <c r="F47" s="11"/>
      <c r="G47" s="12" t="str">
        <f aca="false">IF(OR(E47="",F47=""),"",E47+F47)</f>
        <v/>
      </c>
      <c r="H47" s="11"/>
      <c r="I47" s="12" t="str">
        <f aca="false">IF(G47="","",IF(G47&lt;=4,"А",IF(G47&lt;=7,"В","С")))</f>
        <v/>
      </c>
      <c r="J47" s="11"/>
      <c r="K47" s="12" t="str">
        <f aca="false">IF(J47&lt;&gt;"",J47,I47)</f>
        <v/>
      </c>
      <c r="L47" s="12" t="str">
        <f aca="false">IF(P47="","",COUNTIF($P$4:$P$73,"&gt;"&amp;P47)+COUNTIF($P$4:P47,P47))</f>
        <v/>
      </c>
      <c r="M47" s="12" t="str">
        <f aca="false">IF(L47="","",IF(L47&lt;=13,L47,IF(MOD(INT((L47-14)/13),2)=0,13-MOD(L47-14,13),MOD(L47-14,13)+1)))</f>
        <v/>
      </c>
      <c r="N47" s="11"/>
      <c r="O47" s="12" t="str">
        <f aca="false">IF(N47&lt;&gt;"",N47,M47)</f>
        <v/>
      </c>
      <c r="P47" s="12" t="str">
        <f aca="false">IF(G47="","",G47*1000+N(D47))</f>
        <v/>
      </c>
      <c r="Q47" s="11"/>
      <c r="R47" s="11"/>
      <c r="S47" s="11"/>
      <c r="T47" s="12" t="str">
        <f aca="false">IF(OR(R47="",S47=""),"",R47+S47)</f>
        <v/>
      </c>
      <c r="U47" s="11"/>
      <c r="V47" s="12" t="str">
        <f aca="false">IF(T47="","",IF(T47&lt;=4,"А",IF(T47&lt;=7,"В","С")))</f>
        <v/>
      </c>
      <c r="W47" s="11"/>
      <c r="X47" s="11"/>
      <c r="Y47" s="11"/>
      <c r="Z47" s="12" t="str">
        <f aca="false">IF(OR(X47="",Y47=""),"",X47+Y47)</f>
        <v/>
      </c>
      <c r="AA47" s="11"/>
      <c r="AB47" s="12" t="str">
        <f aca="false">IF(Z47="","",IF(Z47&lt;=4,"А",IF(Z47&lt;=7,"В","С")))</f>
        <v/>
      </c>
      <c r="AC47" s="12" t="str">
        <f aca="false">IF(OR(Z47="",G47=""),"",Z47-G47)</f>
        <v/>
      </c>
      <c r="AD47" s="12" t="str">
        <f aca="false">IF(OR(W47="",D47=""),"",W47-D47)</f>
        <v/>
      </c>
    </row>
    <row r="48" customFormat="false" ht="15" hidden="false" customHeight="false" outlineLevel="0" collapsed="false">
      <c r="A48" s="9" t="n">
        <v>45</v>
      </c>
      <c r="B48" s="10"/>
      <c r="C48" s="11"/>
      <c r="D48" s="11"/>
      <c r="E48" s="11"/>
      <c r="F48" s="11"/>
      <c r="G48" s="12" t="str">
        <f aca="false">IF(OR(E48="",F48=""),"",E48+F48)</f>
        <v/>
      </c>
      <c r="H48" s="11"/>
      <c r="I48" s="12" t="str">
        <f aca="false">IF(G48="","",IF(G48&lt;=4,"А",IF(G48&lt;=7,"В","С")))</f>
        <v/>
      </c>
      <c r="J48" s="11"/>
      <c r="K48" s="12" t="str">
        <f aca="false">IF(J48&lt;&gt;"",J48,I48)</f>
        <v/>
      </c>
      <c r="L48" s="12" t="str">
        <f aca="false">IF(P48="","",COUNTIF($P$4:$P$73,"&gt;"&amp;P48)+COUNTIF($P$4:P48,P48))</f>
        <v/>
      </c>
      <c r="M48" s="12" t="str">
        <f aca="false">IF(L48="","",IF(L48&lt;=13,L48,IF(MOD(INT((L48-14)/13),2)=0,13-MOD(L48-14,13),MOD(L48-14,13)+1)))</f>
        <v/>
      </c>
      <c r="N48" s="11"/>
      <c r="O48" s="12" t="str">
        <f aca="false">IF(N48&lt;&gt;"",N48,M48)</f>
        <v/>
      </c>
      <c r="P48" s="12" t="str">
        <f aca="false">IF(G48="","",G48*1000+N(D48))</f>
        <v/>
      </c>
      <c r="Q48" s="11"/>
      <c r="R48" s="11"/>
      <c r="S48" s="11"/>
      <c r="T48" s="12" t="str">
        <f aca="false">IF(OR(R48="",S48=""),"",R48+S48)</f>
        <v/>
      </c>
      <c r="U48" s="11"/>
      <c r="V48" s="12" t="str">
        <f aca="false">IF(T48="","",IF(T48&lt;=4,"А",IF(T48&lt;=7,"В","С")))</f>
        <v/>
      </c>
      <c r="W48" s="11"/>
      <c r="X48" s="11"/>
      <c r="Y48" s="11"/>
      <c r="Z48" s="12" t="str">
        <f aca="false">IF(OR(X48="",Y48=""),"",X48+Y48)</f>
        <v/>
      </c>
      <c r="AA48" s="11"/>
      <c r="AB48" s="12" t="str">
        <f aca="false">IF(Z48="","",IF(Z48&lt;=4,"А",IF(Z48&lt;=7,"В","С")))</f>
        <v/>
      </c>
      <c r="AC48" s="12" t="str">
        <f aca="false">IF(OR(Z48="",G48=""),"",Z48-G48)</f>
        <v/>
      </c>
      <c r="AD48" s="12" t="str">
        <f aca="false">IF(OR(W48="",D48=""),"",W48-D48)</f>
        <v/>
      </c>
    </row>
    <row r="49" customFormat="false" ht="15" hidden="false" customHeight="false" outlineLevel="0" collapsed="false">
      <c r="A49" s="9" t="n">
        <v>46</v>
      </c>
      <c r="B49" s="10"/>
      <c r="C49" s="11"/>
      <c r="D49" s="11"/>
      <c r="E49" s="11"/>
      <c r="F49" s="11"/>
      <c r="G49" s="12" t="str">
        <f aca="false">IF(OR(E49="",F49=""),"",E49+F49)</f>
        <v/>
      </c>
      <c r="H49" s="11"/>
      <c r="I49" s="12" t="str">
        <f aca="false">IF(G49="","",IF(G49&lt;=4,"А",IF(G49&lt;=7,"В","С")))</f>
        <v/>
      </c>
      <c r="J49" s="11"/>
      <c r="K49" s="12" t="str">
        <f aca="false">IF(J49&lt;&gt;"",J49,I49)</f>
        <v/>
      </c>
      <c r="L49" s="12" t="str">
        <f aca="false">IF(P49="","",COUNTIF($P$4:$P$73,"&gt;"&amp;P49)+COUNTIF($P$4:P49,P49))</f>
        <v/>
      </c>
      <c r="M49" s="12" t="str">
        <f aca="false">IF(L49="","",IF(L49&lt;=13,L49,IF(MOD(INT((L49-14)/13),2)=0,13-MOD(L49-14,13),MOD(L49-14,13)+1)))</f>
        <v/>
      </c>
      <c r="N49" s="11"/>
      <c r="O49" s="12" t="str">
        <f aca="false">IF(N49&lt;&gt;"",N49,M49)</f>
        <v/>
      </c>
      <c r="P49" s="12" t="str">
        <f aca="false">IF(G49="","",G49*1000+N(D49))</f>
        <v/>
      </c>
      <c r="Q49" s="11"/>
      <c r="R49" s="11"/>
      <c r="S49" s="11"/>
      <c r="T49" s="12" t="str">
        <f aca="false">IF(OR(R49="",S49=""),"",R49+S49)</f>
        <v/>
      </c>
      <c r="U49" s="11"/>
      <c r="V49" s="12" t="str">
        <f aca="false">IF(T49="","",IF(T49&lt;=4,"А",IF(T49&lt;=7,"В","С")))</f>
        <v/>
      </c>
      <c r="W49" s="11"/>
      <c r="X49" s="11"/>
      <c r="Y49" s="11"/>
      <c r="Z49" s="12" t="str">
        <f aca="false">IF(OR(X49="",Y49=""),"",X49+Y49)</f>
        <v/>
      </c>
      <c r="AA49" s="11"/>
      <c r="AB49" s="12" t="str">
        <f aca="false">IF(Z49="","",IF(Z49&lt;=4,"А",IF(Z49&lt;=7,"В","С")))</f>
        <v/>
      </c>
      <c r="AC49" s="12" t="str">
        <f aca="false">IF(OR(Z49="",G49=""),"",Z49-G49)</f>
        <v/>
      </c>
      <c r="AD49" s="12" t="str">
        <f aca="false">IF(OR(W49="",D49=""),"",W49-D49)</f>
        <v/>
      </c>
    </row>
    <row r="50" customFormat="false" ht="15" hidden="false" customHeight="false" outlineLevel="0" collapsed="false">
      <c r="A50" s="9" t="n">
        <v>47</v>
      </c>
      <c r="B50" s="10"/>
      <c r="C50" s="11"/>
      <c r="D50" s="11"/>
      <c r="E50" s="11"/>
      <c r="F50" s="11"/>
      <c r="G50" s="12" t="str">
        <f aca="false">IF(OR(E50="",F50=""),"",E50+F50)</f>
        <v/>
      </c>
      <c r="H50" s="11"/>
      <c r="I50" s="12" t="str">
        <f aca="false">IF(G50="","",IF(G50&lt;=4,"А",IF(G50&lt;=7,"В","С")))</f>
        <v/>
      </c>
      <c r="J50" s="11"/>
      <c r="K50" s="12" t="str">
        <f aca="false">IF(J50&lt;&gt;"",J50,I50)</f>
        <v/>
      </c>
      <c r="L50" s="12" t="str">
        <f aca="false">IF(P50="","",COUNTIF($P$4:$P$73,"&gt;"&amp;P50)+COUNTIF($P$4:P50,P50))</f>
        <v/>
      </c>
      <c r="M50" s="12" t="str">
        <f aca="false">IF(L50="","",IF(L50&lt;=13,L50,IF(MOD(INT((L50-14)/13),2)=0,13-MOD(L50-14,13),MOD(L50-14,13)+1)))</f>
        <v/>
      </c>
      <c r="N50" s="11"/>
      <c r="O50" s="12" t="str">
        <f aca="false">IF(N50&lt;&gt;"",N50,M50)</f>
        <v/>
      </c>
      <c r="P50" s="12" t="str">
        <f aca="false">IF(G50="","",G50*1000+N(D50))</f>
        <v/>
      </c>
      <c r="Q50" s="11"/>
      <c r="R50" s="11"/>
      <c r="S50" s="11"/>
      <c r="T50" s="12" t="str">
        <f aca="false">IF(OR(R50="",S50=""),"",R50+S50)</f>
        <v/>
      </c>
      <c r="U50" s="11"/>
      <c r="V50" s="12" t="str">
        <f aca="false">IF(T50="","",IF(T50&lt;=4,"А",IF(T50&lt;=7,"В","С")))</f>
        <v/>
      </c>
      <c r="W50" s="11"/>
      <c r="X50" s="11"/>
      <c r="Y50" s="11"/>
      <c r="Z50" s="12" t="str">
        <f aca="false">IF(OR(X50="",Y50=""),"",X50+Y50)</f>
        <v/>
      </c>
      <c r="AA50" s="11"/>
      <c r="AB50" s="12" t="str">
        <f aca="false">IF(Z50="","",IF(Z50&lt;=4,"А",IF(Z50&lt;=7,"В","С")))</f>
        <v/>
      </c>
      <c r="AC50" s="12" t="str">
        <f aca="false">IF(OR(Z50="",G50=""),"",Z50-G50)</f>
        <v/>
      </c>
      <c r="AD50" s="12" t="str">
        <f aca="false">IF(OR(W50="",D50=""),"",W50-D50)</f>
        <v/>
      </c>
    </row>
    <row r="51" customFormat="false" ht="15" hidden="false" customHeight="false" outlineLevel="0" collapsed="false">
      <c r="A51" s="9" t="n">
        <v>48</v>
      </c>
      <c r="B51" s="10"/>
      <c r="C51" s="11"/>
      <c r="D51" s="11"/>
      <c r="E51" s="11"/>
      <c r="F51" s="11"/>
      <c r="G51" s="12" t="str">
        <f aca="false">IF(OR(E51="",F51=""),"",E51+F51)</f>
        <v/>
      </c>
      <c r="H51" s="11"/>
      <c r="I51" s="12" t="str">
        <f aca="false">IF(G51="","",IF(G51&lt;=4,"А",IF(G51&lt;=7,"В","С")))</f>
        <v/>
      </c>
      <c r="J51" s="11"/>
      <c r="K51" s="12" t="str">
        <f aca="false">IF(J51&lt;&gt;"",J51,I51)</f>
        <v/>
      </c>
      <c r="L51" s="12" t="str">
        <f aca="false">IF(P51="","",COUNTIF($P$4:$P$73,"&gt;"&amp;P51)+COUNTIF($P$4:P51,P51))</f>
        <v/>
      </c>
      <c r="M51" s="12" t="str">
        <f aca="false">IF(L51="","",IF(L51&lt;=13,L51,IF(MOD(INT((L51-14)/13),2)=0,13-MOD(L51-14,13),MOD(L51-14,13)+1)))</f>
        <v/>
      </c>
      <c r="N51" s="11"/>
      <c r="O51" s="12" t="str">
        <f aca="false">IF(N51&lt;&gt;"",N51,M51)</f>
        <v/>
      </c>
      <c r="P51" s="12" t="str">
        <f aca="false">IF(G51="","",G51*1000+N(D51))</f>
        <v/>
      </c>
      <c r="Q51" s="11"/>
      <c r="R51" s="11"/>
      <c r="S51" s="11"/>
      <c r="T51" s="12" t="str">
        <f aca="false">IF(OR(R51="",S51=""),"",R51+S51)</f>
        <v/>
      </c>
      <c r="U51" s="11"/>
      <c r="V51" s="12" t="str">
        <f aca="false">IF(T51="","",IF(T51&lt;=4,"А",IF(T51&lt;=7,"В","С")))</f>
        <v/>
      </c>
      <c r="W51" s="11"/>
      <c r="X51" s="11"/>
      <c r="Y51" s="11"/>
      <c r="Z51" s="12" t="str">
        <f aca="false">IF(OR(X51="",Y51=""),"",X51+Y51)</f>
        <v/>
      </c>
      <c r="AA51" s="11"/>
      <c r="AB51" s="12" t="str">
        <f aca="false">IF(Z51="","",IF(Z51&lt;=4,"А",IF(Z51&lt;=7,"В","С")))</f>
        <v/>
      </c>
      <c r="AC51" s="12" t="str">
        <f aca="false">IF(OR(Z51="",G51=""),"",Z51-G51)</f>
        <v/>
      </c>
      <c r="AD51" s="12" t="str">
        <f aca="false">IF(OR(W51="",D51=""),"",W51-D51)</f>
        <v/>
      </c>
    </row>
    <row r="52" customFormat="false" ht="15" hidden="false" customHeight="false" outlineLevel="0" collapsed="false">
      <c r="A52" s="9" t="n">
        <v>49</v>
      </c>
      <c r="B52" s="10"/>
      <c r="C52" s="11"/>
      <c r="D52" s="11"/>
      <c r="E52" s="11"/>
      <c r="F52" s="11"/>
      <c r="G52" s="12" t="str">
        <f aca="false">IF(OR(E52="",F52=""),"",E52+F52)</f>
        <v/>
      </c>
      <c r="H52" s="11"/>
      <c r="I52" s="12" t="str">
        <f aca="false">IF(G52="","",IF(G52&lt;=4,"А",IF(G52&lt;=7,"В","С")))</f>
        <v/>
      </c>
      <c r="J52" s="11"/>
      <c r="K52" s="12" t="str">
        <f aca="false">IF(J52&lt;&gt;"",J52,I52)</f>
        <v/>
      </c>
      <c r="L52" s="12" t="str">
        <f aca="false">IF(P52="","",COUNTIF($P$4:$P$73,"&gt;"&amp;P52)+COUNTIF($P$4:P52,P52))</f>
        <v/>
      </c>
      <c r="M52" s="12" t="str">
        <f aca="false">IF(L52="","",IF(L52&lt;=13,L52,IF(MOD(INT((L52-14)/13),2)=0,13-MOD(L52-14,13),MOD(L52-14,13)+1)))</f>
        <v/>
      </c>
      <c r="N52" s="11"/>
      <c r="O52" s="12" t="str">
        <f aca="false">IF(N52&lt;&gt;"",N52,M52)</f>
        <v/>
      </c>
      <c r="P52" s="12" t="str">
        <f aca="false">IF(G52="","",G52*1000+N(D52))</f>
        <v/>
      </c>
      <c r="Q52" s="11"/>
      <c r="R52" s="11"/>
      <c r="S52" s="11"/>
      <c r="T52" s="12" t="str">
        <f aca="false">IF(OR(R52="",S52=""),"",R52+S52)</f>
        <v/>
      </c>
      <c r="U52" s="11"/>
      <c r="V52" s="12" t="str">
        <f aca="false">IF(T52="","",IF(T52&lt;=4,"А",IF(T52&lt;=7,"В","С")))</f>
        <v/>
      </c>
      <c r="W52" s="11"/>
      <c r="X52" s="11"/>
      <c r="Y52" s="11"/>
      <c r="Z52" s="12" t="str">
        <f aca="false">IF(OR(X52="",Y52=""),"",X52+Y52)</f>
        <v/>
      </c>
      <c r="AA52" s="11"/>
      <c r="AB52" s="12" t="str">
        <f aca="false">IF(Z52="","",IF(Z52&lt;=4,"А",IF(Z52&lt;=7,"В","С")))</f>
        <v/>
      </c>
      <c r="AC52" s="12" t="str">
        <f aca="false">IF(OR(Z52="",G52=""),"",Z52-G52)</f>
        <v/>
      </c>
      <c r="AD52" s="12" t="str">
        <f aca="false">IF(OR(W52="",D52=""),"",W52-D52)</f>
        <v/>
      </c>
    </row>
    <row r="53" customFormat="false" ht="15" hidden="false" customHeight="false" outlineLevel="0" collapsed="false">
      <c r="A53" s="9" t="n">
        <v>50</v>
      </c>
      <c r="B53" s="10"/>
      <c r="C53" s="11"/>
      <c r="D53" s="11"/>
      <c r="E53" s="11"/>
      <c r="F53" s="11"/>
      <c r="G53" s="12" t="str">
        <f aca="false">IF(OR(E53="",F53=""),"",E53+F53)</f>
        <v/>
      </c>
      <c r="H53" s="11"/>
      <c r="I53" s="12" t="str">
        <f aca="false">IF(G53="","",IF(G53&lt;=4,"А",IF(G53&lt;=7,"В","С")))</f>
        <v/>
      </c>
      <c r="J53" s="11"/>
      <c r="K53" s="12" t="str">
        <f aca="false">IF(J53&lt;&gt;"",J53,I53)</f>
        <v/>
      </c>
      <c r="L53" s="12" t="str">
        <f aca="false">IF(P53="","",COUNTIF($P$4:$P$73,"&gt;"&amp;P53)+COUNTIF($P$4:P53,P53))</f>
        <v/>
      </c>
      <c r="M53" s="12" t="str">
        <f aca="false">IF(L53="","",IF(L53&lt;=13,L53,IF(MOD(INT((L53-14)/13),2)=0,13-MOD(L53-14,13),MOD(L53-14,13)+1)))</f>
        <v/>
      </c>
      <c r="N53" s="11"/>
      <c r="O53" s="12" t="str">
        <f aca="false">IF(N53&lt;&gt;"",N53,M53)</f>
        <v/>
      </c>
      <c r="P53" s="12" t="str">
        <f aca="false">IF(G53="","",G53*1000+N(D53))</f>
        <v/>
      </c>
      <c r="Q53" s="11"/>
      <c r="R53" s="11"/>
      <c r="S53" s="11"/>
      <c r="T53" s="12" t="str">
        <f aca="false">IF(OR(R53="",S53=""),"",R53+S53)</f>
        <v/>
      </c>
      <c r="U53" s="11"/>
      <c r="V53" s="12" t="str">
        <f aca="false">IF(T53="","",IF(T53&lt;=4,"А",IF(T53&lt;=7,"В","С")))</f>
        <v/>
      </c>
      <c r="W53" s="11"/>
      <c r="X53" s="11"/>
      <c r="Y53" s="11"/>
      <c r="Z53" s="12" t="str">
        <f aca="false">IF(OR(X53="",Y53=""),"",X53+Y53)</f>
        <v/>
      </c>
      <c r="AA53" s="11"/>
      <c r="AB53" s="12" t="str">
        <f aca="false">IF(Z53="","",IF(Z53&lt;=4,"А",IF(Z53&lt;=7,"В","С")))</f>
        <v/>
      </c>
      <c r="AC53" s="12" t="str">
        <f aca="false">IF(OR(Z53="",G53=""),"",Z53-G53)</f>
        <v/>
      </c>
      <c r="AD53" s="12" t="str">
        <f aca="false">IF(OR(W53="",D53=""),"",W53-D53)</f>
        <v/>
      </c>
    </row>
    <row r="54" customFormat="false" ht="15" hidden="false" customHeight="false" outlineLevel="0" collapsed="false">
      <c r="A54" s="9" t="n">
        <v>51</v>
      </c>
      <c r="B54" s="10"/>
      <c r="C54" s="11"/>
      <c r="D54" s="11"/>
      <c r="E54" s="11"/>
      <c r="F54" s="11"/>
      <c r="G54" s="12" t="str">
        <f aca="false">IF(OR(E54="",F54=""),"",E54+F54)</f>
        <v/>
      </c>
      <c r="H54" s="11"/>
      <c r="I54" s="12" t="str">
        <f aca="false">IF(G54="","",IF(G54&lt;=4,"А",IF(G54&lt;=7,"В","С")))</f>
        <v/>
      </c>
      <c r="J54" s="11"/>
      <c r="K54" s="12" t="str">
        <f aca="false">IF(J54&lt;&gt;"",J54,I54)</f>
        <v/>
      </c>
      <c r="L54" s="12" t="str">
        <f aca="false">IF(P54="","",COUNTIF($P$4:$P$73,"&gt;"&amp;P54)+COUNTIF($P$4:P54,P54))</f>
        <v/>
      </c>
      <c r="M54" s="12" t="str">
        <f aca="false">IF(L54="","",IF(L54&lt;=13,L54,IF(MOD(INT((L54-14)/13),2)=0,13-MOD(L54-14,13),MOD(L54-14,13)+1)))</f>
        <v/>
      </c>
      <c r="N54" s="11"/>
      <c r="O54" s="12" t="str">
        <f aca="false">IF(N54&lt;&gt;"",N54,M54)</f>
        <v/>
      </c>
      <c r="P54" s="12" t="str">
        <f aca="false">IF(G54="","",G54*1000+N(D54))</f>
        <v/>
      </c>
      <c r="Q54" s="11"/>
      <c r="R54" s="11"/>
      <c r="S54" s="11"/>
      <c r="T54" s="12" t="str">
        <f aca="false">IF(OR(R54="",S54=""),"",R54+S54)</f>
        <v/>
      </c>
      <c r="U54" s="11"/>
      <c r="V54" s="12" t="str">
        <f aca="false">IF(T54="","",IF(T54&lt;=4,"А",IF(T54&lt;=7,"В","С")))</f>
        <v/>
      </c>
      <c r="W54" s="11"/>
      <c r="X54" s="11"/>
      <c r="Y54" s="11"/>
      <c r="Z54" s="12" t="str">
        <f aca="false">IF(OR(X54="",Y54=""),"",X54+Y54)</f>
        <v/>
      </c>
      <c r="AA54" s="11"/>
      <c r="AB54" s="12" t="str">
        <f aca="false">IF(Z54="","",IF(Z54&lt;=4,"А",IF(Z54&lt;=7,"В","С")))</f>
        <v/>
      </c>
      <c r="AC54" s="12" t="str">
        <f aca="false">IF(OR(Z54="",G54=""),"",Z54-G54)</f>
        <v/>
      </c>
      <c r="AD54" s="12" t="str">
        <f aca="false">IF(OR(W54="",D54=""),"",W54-D54)</f>
        <v/>
      </c>
    </row>
    <row r="55" customFormat="false" ht="15" hidden="false" customHeight="false" outlineLevel="0" collapsed="false">
      <c r="A55" s="9" t="n">
        <v>52</v>
      </c>
      <c r="B55" s="10"/>
      <c r="C55" s="11"/>
      <c r="D55" s="11"/>
      <c r="E55" s="11"/>
      <c r="F55" s="11"/>
      <c r="G55" s="12" t="str">
        <f aca="false">IF(OR(E55="",F55=""),"",E55+F55)</f>
        <v/>
      </c>
      <c r="H55" s="11"/>
      <c r="I55" s="12" t="str">
        <f aca="false">IF(G55="","",IF(G55&lt;=4,"А",IF(G55&lt;=7,"В","С")))</f>
        <v/>
      </c>
      <c r="J55" s="11"/>
      <c r="K55" s="12" t="str">
        <f aca="false">IF(J55&lt;&gt;"",J55,I55)</f>
        <v/>
      </c>
      <c r="L55" s="12" t="str">
        <f aca="false">IF(P55="","",COUNTIF($P$4:$P$73,"&gt;"&amp;P55)+COUNTIF($P$4:P55,P55))</f>
        <v/>
      </c>
      <c r="M55" s="12" t="str">
        <f aca="false">IF(L55="","",IF(L55&lt;=13,L55,IF(MOD(INT((L55-14)/13),2)=0,13-MOD(L55-14,13),MOD(L55-14,13)+1)))</f>
        <v/>
      </c>
      <c r="N55" s="11"/>
      <c r="O55" s="12" t="str">
        <f aca="false">IF(N55&lt;&gt;"",N55,M55)</f>
        <v/>
      </c>
      <c r="P55" s="12" t="str">
        <f aca="false">IF(G55="","",G55*1000+N(D55))</f>
        <v/>
      </c>
      <c r="Q55" s="11"/>
      <c r="R55" s="11"/>
      <c r="S55" s="11"/>
      <c r="T55" s="12" t="str">
        <f aca="false">IF(OR(R55="",S55=""),"",R55+S55)</f>
        <v/>
      </c>
      <c r="U55" s="11"/>
      <c r="V55" s="12" t="str">
        <f aca="false">IF(T55="","",IF(T55&lt;=4,"А",IF(T55&lt;=7,"В","С")))</f>
        <v/>
      </c>
      <c r="W55" s="11"/>
      <c r="X55" s="11"/>
      <c r="Y55" s="11"/>
      <c r="Z55" s="12" t="str">
        <f aca="false">IF(OR(X55="",Y55=""),"",X55+Y55)</f>
        <v/>
      </c>
      <c r="AA55" s="11"/>
      <c r="AB55" s="12" t="str">
        <f aca="false">IF(Z55="","",IF(Z55&lt;=4,"А",IF(Z55&lt;=7,"В","С")))</f>
        <v/>
      </c>
      <c r="AC55" s="12" t="str">
        <f aca="false">IF(OR(Z55="",G55=""),"",Z55-G55)</f>
        <v/>
      </c>
      <c r="AD55" s="12" t="str">
        <f aca="false">IF(OR(W55="",D55=""),"",W55-D55)</f>
        <v/>
      </c>
    </row>
    <row r="56" customFormat="false" ht="15" hidden="false" customHeight="false" outlineLevel="0" collapsed="false">
      <c r="A56" s="9" t="n">
        <v>53</v>
      </c>
      <c r="B56" s="10"/>
      <c r="C56" s="11"/>
      <c r="D56" s="11"/>
      <c r="E56" s="11"/>
      <c r="F56" s="11"/>
      <c r="G56" s="12" t="str">
        <f aca="false">IF(OR(E56="",F56=""),"",E56+F56)</f>
        <v/>
      </c>
      <c r="H56" s="11"/>
      <c r="I56" s="12" t="str">
        <f aca="false">IF(G56="","",IF(G56&lt;=4,"А",IF(G56&lt;=7,"В","С")))</f>
        <v/>
      </c>
      <c r="J56" s="11"/>
      <c r="K56" s="12" t="str">
        <f aca="false">IF(J56&lt;&gt;"",J56,I56)</f>
        <v/>
      </c>
      <c r="L56" s="12" t="str">
        <f aca="false">IF(P56="","",COUNTIF($P$4:$P$73,"&gt;"&amp;P56)+COUNTIF($P$4:P56,P56))</f>
        <v/>
      </c>
      <c r="M56" s="12" t="str">
        <f aca="false">IF(L56="","",IF(L56&lt;=13,L56,IF(MOD(INT((L56-14)/13),2)=0,13-MOD(L56-14,13),MOD(L56-14,13)+1)))</f>
        <v/>
      </c>
      <c r="N56" s="11"/>
      <c r="O56" s="12" t="str">
        <f aca="false">IF(N56&lt;&gt;"",N56,M56)</f>
        <v/>
      </c>
      <c r="P56" s="12" t="str">
        <f aca="false">IF(G56="","",G56*1000+N(D56))</f>
        <v/>
      </c>
      <c r="Q56" s="11"/>
      <c r="R56" s="11"/>
      <c r="S56" s="11"/>
      <c r="T56" s="12" t="str">
        <f aca="false">IF(OR(R56="",S56=""),"",R56+S56)</f>
        <v/>
      </c>
      <c r="U56" s="11"/>
      <c r="V56" s="12" t="str">
        <f aca="false">IF(T56="","",IF(T56&lt;=4,"А",IF(T56&lt;=7,"В","С")))</f>
        <v/>
      </c>
      <c r="W56" s="11"/>
      <c r="X56" s="11"/>
      <c r="Y56" s="11"/>
      <c r="Z56" s="12" t="str">
        <f aca="false">IF(OR(X56="",Y56=""),"",X56+Y56)</f>
        <v/>
      </c>
      <c r="AA56" s="11"/>
      <c r="AB56" s="12" t="str">
        <f aca="false">IF(Z56="","",IF(Z56&lt;=4,"А",IF(Z56&lt;=7,"В","С")))</f>
        <v/>
      </c>
      <c r="AC56" s="12" t="str">
        <f aca="false">IF(OR(Z56="",G56=""),"",Z56-G56)</f>
        <v/>
      </c>
      <c r="AD56" s="12" t="str">
        <f aca="false">IF(OR(W56="",D56=""),"",W56-D56)</f>
        <v/>
      </c>
    </row>
    <row r="57" customFormat="false" ht="15" hidden="false" customHeight="false" outlineLevel="0" collapsed="false">
      <c r="A57" s="9" t="n">
        <v>54</v>
      </c>
      <c r="B57" s="10"/>
      <c r="C57" s="11"/>
      <c r="D57" s="11"/>
      <c r="E57" s="11"/>
      <c r="F57" s="11"/>
      <c r="G57" s="12" t="str">
        <f aca="false">IF(OR(E57="",F57=""),"",E57+F57)</f>
        <v/>
      </c>
      <c r="H57" s="11"/>
      <c r="I57" s="12" t="str">
        <f aca="false">IF(G57="","",IF(G57&lt;=4,"А",IF(G57&lt;=7,"В","С")))</f>
        <v/>
      </c>
      <c r="J57" s="11"/>
      <c r="K57" s="12" t="str">
        <f aca="false">IF(J57&lt;&gt;"",J57,I57)</f>
        <v/>
      </c>
      <c r="L57" s="12" t="str">
        <f aca="false">IF(P57="","",COUNTIF($P$4:$P$73,"&gt;"&amp;P57)+COUNTIF($P$4:P57,P57))</f>
        <v/>
      </c>
      <c r="M57" s="12" t="str">
        <f aca="false">IF(L57="","",IF(L57&lt;=13,L57,IF(MOD(INT((L57-14)/13),2)=0,13-MOD(L57-14,13),MOD(L57-14,13)+1)))</f>
        <v/>
      </c>
      <c r="N57" s="11"/>
      <c r="O57" s="12" t="str">
        <f aca="false">IF(N57&lt;&gt;"",N57,M57)</f>
        <v/>
      </c>
      <c r="P57" s="12" t="str">
        <f aca="false">IF(G57="","",G57*1000+N(D57))</f>
        <v/>
      </c>
      <c r="Q57" s="11"/>
      <c r="R57" s="11"/>
      <c r="S57" s="11"/>
      <c r="T57" s="12" t="str">
        <f aca="false">IF(OR(R57="",S57=""),"",R57+S57)</f>
        <v/>
      </c>
      <c r="U57" s="11"/>
      <c r="V57" s="12" t="str">
        <f aca="false">IF(T57="","",IF(T57&lt;=4,"А",IF(T57&lt;=7,"В","С")))</f>
        <v/>
      </c>
      <c r="W57" s="11"/>
      <c r="X57" s="11"/>
      <c r="Y57" s="11"/>
      <c r="Z57" s="12" t="str">
        <f aca="false">IF(OR(X57="",Y57=""),"",X57+Y57)</f>
        <v/>
      </c>
      <c r="AA57" s="11"/>
      <c r="AB57" s="12" t="str">
        <f aca="false">IF(Z57="","",IF(Z57&lt;=4,"А",IF(Z57&lt;=7,"В","С")))</f>
        <v/>
      </c>
      <c r="AC57" s="12" t="str">
        <f aca="false">IF(OR(Z57="",G57=""),"",Z57-G57)</f>
        <v/>
      </c>
      <c r="AD57" s="12" t="str">
        <f aca="false">IF(OR(W57="",D57=""),"",W57-D57)</f>
        <v/>
      </c>
    </row>
    <row r="58" customFormat="false" ht="15" hidden="false" customHeight="false" outlineLevel="0" collapsed="false">
      <c r="A58" s="9" t="n">
        <v>55</v>
      </c>
      <c r="B58" s="10"/>
      <c r="C58" s="11"/>
      <c r="D58" s="11"/>
      <c r="E58" s="11"/>
      <c r="F58" s="11"/>
      <c r="G58" s="12" t="str">
        <f aca="false">IF(OR(E58="",F58=""),"",E58+F58)</f>
        <v/>
      </c>
      <c r="H58" s="11"/>
      <c r="I58" s="12" t="str">
        <f aca="false">IF(G58="","",IF(G58&lt;=4,"А",IF(G58&lt;=7,"В","С")))</f>
        <v/>
      </c>
      <c r="J58" s="11"/>
      <c r="K58" s="12" t="str">
        <f aca="false">IF(J58&lt;&gt;"",J58,I58)</f>
        <v/>
      </c>
      <c r="L58" s="12" t="str">
        <f aca="false">IF(P58="","",COUNTIF($P$4:$P$73,"&gt;"&amp;P58)+COUNTIF($P$4:P58,P58))</f>
        <v/>
      </c>
      <c r="M58" s="12" t="str">
        <f aca="false">IF(L58="","",IF(L58&lt;=13,L58,IF(MOD(INT((L58-14)/13),2)=0,13-MOD(L58-14,13),MOD(L58-14,13)+1)))</f>
        <v/>
      </c>
      <c r="N58" s="11"/>
      <c r="O58" s="12" t="str">
        <f aca="false">IF(N58&lt;&gt;"",N58,M58)</f>
        <v/>
      </c>
      <c r="P58" s="12" t="str">
        <f aca="false">IF(G58="","",G58*1000+N(D58))</f>
        <v/>
      </c>
      <c r="Q58" s="11"/>
      <c r="R58" s="11"/>
      <c r="S58" s="11"/>
      <c r="T58" s="12" t="str">
        <f aca="false">IF(OR(R58="",S58=""),"",R58+S58)</f>
        <v/>
      </c>
      <c r="U58" s="11"/>
      <c r="V58" s="12" t="str">
        <f aca="false">IF(T58="","",IF(T58&lt;=4,"А",IF(T58&lt;=7,"В","С")))</f>
        <v/>
      </c>
      <c r="W58" s="11"/>
      <c r="X58" s="11"/>
      <c r="Y58" s="11"/>
      <c r="Z58" s="12" t="str">
        <f aca="false">IF(OR(X58="",Y58=""),"",X58+Y58)</f>
        <v/>
      </c>
      <c r="AA58" s="11"/>
      <c r="AB58" s="12" t="str">
        <f aca="false">IF(Z58="","",IF(Z58&lt;=4,"А",IF(Z58&lt;=7,"В","С")))</f>
        <v/>
      </c>
      <c r="AC58" s="12" t="str">
        <f aca="false">IF(OR(Z58="",G58=""),"",Z58-G58)</f>
        <v/>
      </c>
      <c r="AD58" s="12" t="str">
        <f aca="false">IF(OR(W58="",D58=""),"",W58-D58)</f>
        <v/>
      </c>
    </row>
    <row r="59" customFormat="false" ht="15" hidden="false" customHeight="false" outlineLevel="0" collapsed="false">
      <c r="A59" s="9" t="n">
        <v>56</v>
      </c>
      <c r="B59" s="10"/>
      <c r="C59" s="11"/>
      <c r="D59" s="11"/>
      <c r="E59" s="11"/>
      <c r="F59" s="11"/>
      <c r="G59" s="12" t="str">
        <f aca="false">IF(OR(E59="",F59=""),"",E59+F59)</f>
        <v/>
      </c>
      <c r="H59" s="11"/>
      <c r="I59" s="12" t="str">
        <f aca="false">IF(G59="","",IF(G59&lt;=4,"А",IF(G59&lt;=7,"В","С")))</f>
        <v/>
      </c>
      <c r="J59" s="11"/>
      <c r="K59" s="12" t="str">
        <f aca="false">IF(J59&lt;&gt;"",J59,I59)</f>
        <v/>
      </c>
      <c r="L59" s="12" t="str">
        <f aca="false">IF(P59="","",COUNTIF($P$4:$P$73,"&gt;"&amp;P59)+COUNTIF($P$4:P59,P59))</f>
        <v/>
      </c>
      <c r="M59" s="12" t="str">
        <f aca="false">IF(L59="","",IF(L59&lt;=13,L59,IF(MOD(INT((L59-14)/13),2)=0,13-MOD(L59-14,13),MOD(L59-14,13)+1)))</f>
        <v/>
      </c>
      <c r="N59" s="11"/>
      <c r="O59" s="12" t="str">
        <f aca="false">IF(N59&lt;&gt;"",N59,M59)</f>
        <v/>
      </c>
      <c r="P59" s="12" t="str">
        <f aca="false">IF(G59="","",G59*1000+N(D59))</f>
        <v/>
      </c>
      <c r="Q59" s="11"/>
      <c r="R59" s="11"/>
      <c r="S59" s="11"/>
      <c r="T59" s="12" t="str">
        <f aca="false">IF(OR(R59="",S59=""),"",R59+S59)</f>
        <v/>
      </c>
      <c r="U59" s="11"/>
      <c r="V59" s="12" t="str">
        <f aca="false">IF(T59="","",IF(T59&lt;=4,"А",IF(T59&lt;=7,"В","С")))</f>
        <v/>
      </c>
      <c r="W59" s="11"/>
      <c r="X59" s="11"/>
      <c r="Y59" s="11"/>
      <c r="Z59" s="12" t="str">
        <f aca="false">IF(OR(X59="",Y59=""),"",X59+Y59)</f>
        <v/>
      </c>
      <c r="AA59" s="11"/>
      <c r="AB59" s="12" t="str">
        <f aca="false">IF(Z59="","",IF(Z59&lt;=4,"А",IF(Z59&lt;=7,"В","С")))</f>
        <v/>
      </c>
      <c r="AC59" s="12" t="str">
        <f aca="false">IF(OR(Z59="",G59=""),"",Z59-G59)</f>
        <v/>
      </c>
      <c r="AD59" s="12" t="str">
        <f aca="false">IF(OR(W59="",D59=""),"",W59-D59)</f>
        <v/>
      </c>
    </row>
    <row r="60" customFormat="false" ht="15" hidden="false" customHeight="false" outlineLevel="0" collapsed="false">
      <c r="A60" s="9" t="n">
        <v>57</v>
      </c>
      <c r="B60" s="10"/>
      <c r="C60" s="11"/>
      <c r="D60" s="11"/>
      <c r="E60" s="11"/>
      <c r="F60" s="11"/>
      <c r="G60" s="12" t="str">
        <f aca="false">IF(OR(E60="",F60=""),"",E60+F60)</f>
        <v/>
      </c>
      <c r="H60" s="11"/>
      <c r="I60" s="12" t="str">
        <f aca="false">IF(G60="","",IF(G60&lt;=4,"А",IF(G60&lt;=7,"В","С")))</f>
        <v/>
      </c>
      <c r="J60" s="11"/>
      <c r="K60" s="12" t="str">
        <f aca="false">IF(J60&lt;&gt;"",J60,I60)</f>
        <v/>
      </c>
      <c r="L60" s="12" t="str">
        <f aca="false">IF(P60="","",COUNTIF($P$4:$P$73,"&gt;"&amp;P60)+COUNTIF($P$4:P60,P60))</f>
        <v/>
      </c>
      <c r="M60" s="12" t="str">
        <f aca="false">IF(L60="","",IF(L60&lt;=13,L60,IF(MOD(INT((L60-14)/13),2)=0,13-MOD(L60-14,13),MOD(L60-14,13)+1)))</f>
        <v/>
      </c>
      <c r="N60" s="11"/>
      <c r="O60" s="12" t="str">
        <f aca="false">IF(N60&lt;&gt;"",N60,M60)</f>
        <v/>
      </c>
      <c r="P60" s="12" t="str">
        <f aca="false">IF(G60="","",G60*1000+N(D60))</f>
        <v/>
      </c>
      <c r="Q60" s="11"/>
      <c r="R60" s="11"/>
      <c r="S60" s="11"/>
      <c r="T60" s="12" t="str">
        <f aca="false">IF(OR(R60="",S60=""),"",R60+S60)</f>
        <v/>
      </c>
      <c r="U60" s="11"/>
      <c r="V60" s="12" t="str">
        <f aca="false">IF(T60="","",IF(T60&lt;=4,"А",IF(T60&lt;=7,"В","С")))</f>
        <v/>
      </c>
      <c r="W60" s="11"/>
      <c r="X60" s="11"/>
      <c r="Y60" s="11"/>
      <c r="Z60" s="12" t="str">
        <f aca="false">IF(OR(X60="",Y60=""),"",X60+Y60)</f>
        <v/>
      </c>
      <c r="AA60" s="11"/>
      <c r="AB60" s="12" t="str">
        <f aca="false">IF(Z60="","",IF(Z60&lt;=4,"А",IF(Z60&lt;=7,"В","С")))</f>
        <v/>
      </c>
      <c r="AC60" s="12" t="str">
        <f aca="false">IF(OR(Z60="",G60=""),"",Z60-G60)</f>
        <v/>
      </c>
      <c r="AD60" s="12" t="str">
        <f aca="false">IF(OR(W60="",D60=""),"",W60-D60)</f>
        <v/>
      </c>
    </row>
    <row r="61" customFormat="false" ht="15" hidden="false" customHeight="false" outlineLevel="0" collapsed="false">
      <c r="A61" s="9" t="n">
        <v>58</v>
      </c>
      <c r="B61" s="10"/>
      <c r="C61" s="11"/>
      <c r="D61" s="11"/>
      <c r="E61" s="11"/>
      <c r="F61" s="11"/>
      <c r="G61" s="12" t="str">
        <f aca="false">IF(OR(E61="",F61=""),"",E61+F61)</f>
        <v/>
      </c>
      <c r="H61" s="11"/>
      <c r="I61" s="12" t="str">
        <f aca="false">IF(G61="","",IF(G61&lt;=4,"А",IF(G61&lt;=7,"В","С")))</f>
        <v/>
      </c>
      <c r="J61" s="11"/>
      <c r="K61" s="12" t="str">
        <f aca="false">IF(J61&lt;&gt;"",J61,I61)</f>
        <v/>
      </c>
      <c r="L61" s="12" t="str">
        <f aca="false">IF(P61="","",COUNTIF($P$4:$P$73,"&gt;"&amp;P61)+COUNTIF($P$4:P61,P61))</f>
        <v/>
      </c>
      <c r="M61" s="12" t="str">
        <f aca="false">IF(L61="","",IF(L61&lt;=13,L61,IF(MOD(INT((L61-14)/13),2)=0,13-MOD(L61-14,13),MOD(L61-14,13)+1)))</f>
        <v/>
      </c>
      <c r="N61" s="11"/>
      <c r="O61" s="12" t="str">
        <f aca="false">IF(N61&lt;&gt;"",N61,M61)</f>
        <v/>
      </c>
      <c r="P61" s="12" t="str">
        <f aca="false">IF(G61="","",G61*1000+N(D61))</f>
        <v/>
      </c>
      <c r="Q61" s="11"/>
      <c r="R61" s="11"/>
      <c r="S61" s="11"/>
      <c r="T61" s="12" t="str">
        <f aca="false">IF(OR(R61="",S61=""),"",R61+S61)</f>
        <v/>
      </c>
      <c r="U61" s="11"/>
      <c r="V61" s="12" t="str">
        <f aca="false">IF(T61="","",IF(T61&lt;=4,"А",IF(T61&lt;=7,"В","С")))</f>
        <v/>
      </c>
      <c r="W61" s="11"/>
      <c r="X61" s="11"/>
      <c r="Y61" s="11"/>
      <c r="Z61" s="12" t="str">
        <f aca="false">IF(OR(X61="",Y61=""),"",X61+Y61)</f>
        <v/>
      </c>
      <c r="AA61" s="11"/>
      <c r="AB61" s="12" t="str">
        <f aca="false">IF(Z61="","",IF(Z61&lt;=4,"А",IF(Z61&lt;=7,"В","С")))</f>
        <v/>
      </c>
      <c r="AC61" s="12" t="str">
        <f aca="false">IF(OR(Z61="",G61=""),"",Z61-G61)</f>
        <v/>
      </c>
      <c r="AD61" s="12" t="str">
        <f aca="false">IF(OR(W61="",D61=""),"",W61-D61)</f>
        <v/>
      </c>
    </row>
    <row r="62" customFormat="false" ht="15" hidden="false" customHeight="false" outlineLevel="0" collapsed="false">
      <c r="A62" s="9" t="n">
        <v>59</v>
      </c>
      <c r="B62" s="10"/>
      <c r="C62" s="11"/>
      <c r="D62" s="11"/>
      <c r="E62" s="11"/>
      <c r="F62" s="11"/>
      <c r="G62" s="12" t="str">
        <f aca="false">IF(OR(E62="",F62=""),"",E62+F62)</f>
        <v/>
      </c>
      <c r="H62" s="11"/>
      <c r="I62" s="12" t="str">
        <f aca="false">IF(G62="","",IF(G62&lt;=4,"А",IF(G62&lt;=7,"В","С")))</f>
        <v/>
      </c>
      <c r="J62" s="11"/>
      <c r="K62" s="12" t="str">
        <f aca="false">IF(J62&lt;&gt;"",J62,I62)</f>
        <v/>
      </c>
      <c r="L62" s="12" t="str">
        <f aca="false">IF(P62="","",COUNTIF($P$4:$P$73,"&gt;"&amp;P62)+COUNTIF($P$4:P62,P62))</f>
        <v/>
      </c>
      <c r="M62" s="12" t="str">
        <f aca="false">IF(L62="","",IF(L62&lt;=13,L62,IF(MOD(INT((L62-14)/13),2)=0,13-MOD(L62-14,13),MOD(L62-14,13)+1)))</f>
        <v/>
      </c>
      <c r="N62" s="11"/>
      <c r="O62" s="12" t="str">
        <f aca="false">IF(N62&lt;&gt;"",N62,M62)</f>
        <v/>
      </c>
      <c r="P62" s="12" t="str">
        <f aca="false">IF(G62="","",G62*1000+N(D62))</f>
        <v/>
      </c>
      <c r="Q62" s="11"/>
      <c r="R62" s="11"/>
      <c r="S62" s="11"/>
      <c r="T62" s="12" t="str">
        <f aca="false">IF(OR(R62="",S62=""),"",R62+S62)</f>
        <v/>
      </c>
      <c r="U62" s="11"/>
      <c r="V62" s="12" t="str">
        <f aca="false">IF(T62="","",IF(T62&lt;=4,"А",IF(T62&lt;=7,"В","С")))</f>
        <v/>
      </c>
      <c r="W62" s="11"/>
      <c r="X62" s="11"/>
      <c r="Y62" s="11"/>
      <c r="Z62" s="12" t="str">
        <f aca="false">IF(OR(X62="",Y62=""),"",X62+Y62)</f>
        <v/>
      </c>
      <c r="AA62" s="11"/>
      <c r="AB62" s="12" t="str">
        <f aca="false">IF(Z62="","",IF(Z62&lt;=4,"А",IF(Z62&lt;=7,"В","С")))</f>
        <v/>
      </c>
      <c r="AC62" s="12" t="str">
        <f aca="false">IF(OR(Z62="",G62=""),"",Z62-G62)</f>
        <v/>
      </c>
      <c r="AD62" s="12" t="str">
        <f aca="false">IF(OR(W62="",D62=""),"",W62-D62)</f>
        <v/>
      </c>
    </row>
    <row r="63" customFormat="false" ht="15" hidden="false" customHeight="false" outlineLevel="0" collapsed="false">
      <c r="A63" s="9" t="n">
        <v>60</v>
      </c>
      <c r="B63" s="10"/>
      <c r="C63" s="11"/>
      <c r="D63" s="11"/>
      <c r="E63" s="11"/>
      <c r="F63" s="11"/>
      <c r="G63" s="12" t="str">
        <f aca="false">IF(OR(E63="",F63=""),"",E63+F63)</f>
        <v/>
      </c>
      <c r="H63" s="11"/>
      <c r="I63" s="12" t="str">
        <f aca="false">IF(G63="","",IF(G63&lt;=4,"А",IF(G63&lt;=7,"В","С")))</f>
        <v/>
      </c>
      <c r="J63" s="11"/>
      <c r="K63" s="12" t="str">
        <f aca="false">IF(J63&lt;&gt;"",J63,I63)</f>
        <v/>
      </c>
      <c r="L63" s="12" t="str">
        <f aca="false">IF(P63="","",COUNTIF($P$4:$P$73,"&gt;"&amp;P63)+COUNTIF($P$4:P63,P63))</f>
        <v/>
      </c>
      <c r="M63" s="12" t="str">
        <f aca="false">IF(L63="","",IF(L63&lt;=13,L63,IF(MOD(INT((L63-14)/13),2)=0,13-MOD(L63-14,13),MOD(L63-14,13)+1)))</f>
        <v/>
      </c>
      <c r="N63" s="11"/>
      <c r="O63" s="12" t="str">
        <f aca="false">IF(N63&lt;&gt;"",N63,M63)</f>
        <v/>
      </c>
      <c r="P63" s="12" t="str">
        <f aca="false">IF(G63="","",G63*1000+N(D63))</f>
        <v/>
      </c>
      <c r="Q63" s="11"/>
      <c r="R63" s="11"/>
      <c r="S63" s="11"/>
      <c r="T63" s="12" t="str">
        <f aca="false">IF(OR(R63="",S63=""),"",R63+S63)</f>
        <v/>
      </c>
      <c r="U63" s="11"/>
      <c r="V63" s="12" t="str">
        <f aca="false">IF(T63="","",IF(T63&lt;=4,"А",IF(T63&lt;=7,"В","С")))</f>
        <v/>
      </c>
      <c r="W63" s="11"/>
      <c r="X63" s="11"/>
      <c r="Y63" s="11"/>
      <c r="Z63" s="12" t="str">
        <f aca="false">IF(OR(X63="",Y63=""),"",X63+Y63)</f>
        <v/>
      </c>
      <c r="AA63" s="11"/>
      <c r="AB63" s="12" t="str">
        <f aca="false">IF(Z63="","",IF(Z63&lt;=4,"А",IF(Z63&lt;=7,"В","С")))</f>
        <v/>
      </c>
      <c r="AC63" s="12" t="str">
        <f aca="false">IF(OR(Z63="",G63=""),"",Z63-G63)</f>
        <v/>
      </c>
      <c r="AD63" s="12" t="str">
        <f aca="false">IF(OR(W63="",D63=""),"",W63-D63)</f>
        <v/>
      </c>
    </row>
    <row r="64" customFormat="false" ht="15" hidden="false" customHeight="false" outlineLevel="0" collapsed="false">
      <c r="A64" s="9" t="n">
        <v>61</v>
      </c>
      <c r="B64" s="10"/>
      <c r="C64" s="11"/>
      <c r="D64" s="11"/>
      <c r="E64" s="11"/>
      <c r="F64" s="11"/>
      <c r="G64" s="12" t="str">
        <f aca="false">IF(OR(E64="",F64=""),"",E64+F64)</f>
        <v/>
      </c>
      <c r="H64" s="11"/>
      <c r="I64" s="12" t="str">
        <f aca="false">IF(G64="","",IF(G64&lt;=4,"А",IF(G64&lt;=7,"В","С")))</f>
        <v/>
      </c>
      <c r="J64" s="11"/>
      <c r="K64" s="12" t="str">
        <f aca="false">IF(J64&lt;&gt;"",J64,I64)</f>
        <v/>
      </c>
      <c r="L64" s="12" t="str">
        <f aca="false">IF(P64="","",COUNTIF($P$4:$P$73,"&gt;"&amp;P64)+COUNTIF($P$4:P64,P64))</f>
        <v/>
      </c>
      <c r="M64" s="12" t="str">
        <f aca="false">IF(L64="","",IF(L64&lt;=13,L64,IF(MOD(INT((L64-14)/13),2)=0,13-MOD(L64-14,13),MOD(L64-14,13)+1)))</f>
        <v/>
      </c>
      <c r="N64" s="11"/>
      <c r="O64" s="12" t="str">
        <f aca="false">IF(N64&lt;&gt;"",N64,M64)</f>
        <v/>
      </c>
      <c r="P64" s="12" t="str">
        <f aca="false">IF(G64="","",G64*1000+N(D64))</f>
        <v/>
      </c>
      <c r="Q64" s="11"/>
      <c r="R64" s="11"/>
      <c r="S64" s="11"/>
      <c r="T64" s="12" t="str">
        <f aca="false">IF(OR(R64="",S64=""),"",R64+S64)</f>
        <v/>
      </c>
      <c r="U64" s="11"/>
      <c r="V64" s="12" t="str">
        <f aca="false">IF(T64="","",IF(T64&lt;=4,"А",IF(T64&lt;=7,"В","С")))</f>
        <v/>
      </c>
      <c r="W64" s="11"/>
      <c r="X64" s="11"/>
      <c r="Y64" s="11"/>
      <c r="Z64" s="12" t="str">
        <f aca="false">IF(OR(X64="",Y64=""),"",X64+Y64)</f>
        <v/>
      </c>
      <c r="AA64" s="11"/>
      <c r="AB64" s="12" t="str">
        <f aca="false">IF(Z64="","",IF(Z64&lt;=4,"А",IF(Z64&lt;=7,"В","С")))</f>
        <v/>
      </c>
      <c r="AC64" s="12" t="str">
        <f aca="false">IF(OR(Z64="",G64=""),"",Z64-G64)</f>
        <v/>
      </c>
      <c r="AD64" s="12" t="str">
        <f aca="false">IF(OR(W64="",D64=""),"",W64-D64)</f>
        <v/>
      </c>
    </row>
    <row r="65" customFormat="false" ht="15" hidden="false" customHeight="false" outlineLevel="0" collapsed="false">
      <c r="A65" s="9" t="n">
        <v>62</v>
      </c>
      <c r="B65" s="10"/>
      <c r="C65" s="11"/>
      <c r="D65" s="11"/>
      <c r="E65" s="11"/>
      <c r="F65" s="11"/>
      <c r="G65" s="12" t="str">
        <f aca="false">IF(OR(E65="",F65=""),"",E65+F65)</f>
        <v/>
      </c>
      <c r="H65" s="11"/>
      <c r="I65" s="12" t="str">
        <f aca="false">IF(G65="","",IF(G65&lt;=4,"А",IF(G65&lt;=7,"В","С")))</f>
        <v/>
      </c>
      <c r="J65" s="11"/>
      <c r="K65" s="12" t="str">
        <f aca="false">IF(J65&lt;&gt;"",J65,I65)</f>
        <v/>
      </c>
      <c r="L65" s="12" t="str">
        <f aca="false">IF(P65="","",COUNTIF($P$4:$P$73,"&gt;"&amp;P65)+COUNTIF($P$4:P65,P65))</f>
        <v/>
      </c>
      <c r="M65" s="12" t="str">
        <f aca="false">IF(L65="","",IF(L65&lt;=13,L65,IF(MOD(INT((L65-14)/13),2)=0,13-MOD(L65-14,13),MOD(L65-14,13)+1)))</f>
        <v/>
      </c>
      <c r="N65" s="11"/>
      <c r="O65" s="12" t="str">
        <f aca="false">IF(N65&lt;&gt;"",N65,M65)</f>
        <v/>
      </c>
      <c r="P65" s="12" t="str">
        <f aca="false">IF(G65="","",G65*1000+N(D65))</f>
        <v/>
      </c>
      <c r="Q65" s="11"/>
      <c r="R65" s="11"/>
      <c r="S65" s="11"/>
      <c r="T65" s="12" t="str">
        <f aca="false">IF(OR(R65="",S65=""),"",R65+S65)</f>
        <v/>
      </c>
      <c r="U65" s="11"/>
      <c r="V65" s="12" t="str">
        <f aca="false">IF(T65="","",IF(T65&lt;=4,"А",IF(T65&lt;=7,"В","С")))</f>
        <v/>
      </c>
      <c r="W65" s="11"/>
      <c r="X65" s="11"/>
      <c r="Y65" s="11"/>
      <c r="Z65" s="12" t="str">
        <f aca="false">IF(OR(X65="",Y65=""),"",X65+Y65)</f>
        <v/>
      </c>
      <c r="AA65" s="11"/>
      <c r="AB65" s="12" t="str">
        <f aca="false">IF(Z65="","",IF(Z65&lt;=4,"А",IF(Z65&lt;=7,"В","С")))</f>
        <v/>
      </c>
      <c r="AC65" s="12" t="str">
        <f aca="false">IF(OR(Z65="",G65=""),"",Z65-G65)</f>
        <v/>
      </c>
      <c r="AD65" s="12" t="str">
        <f aca="false">IF(OR(W65="",D65=""),"",W65-D65)</f>
        <v/>
      </c>
    </row>
    <row r="66" customFormat="false" ht="15" hidden="false" customHeight="false" outlineLevel="0" collapsed="false">
      <c r="A66" s="9" t="n">
        <v>63</v>
      </c>
      <c r="B66" s="10"/>
      <c r="C66" s="11"/>
      <c r="D66" s="11"/>
      <c r="E66" s="11"/>
      <c r="F66" s="11"/>
      <c r="G66" s="12" t="str">
        <f aca="false">IF(OR(E66="",F66=""),"",E66+F66)</f>
        <v/>
      </c>
      <c r="H66" s="11"/>
      <c r="I66" s="12" t="str">
        <f aca="false">IF(G66="","",IF(G66&lt;=4,"А",IF(G66&lt;=7,"В","С")))</f>
        <v/>
      </c>
      <c r="J66" s="11"/>
      <c r="K66" s="12" t="str">
        <f aca="false">IF(J66&lt;&gt;"",J66,I66)</f>
        <v/>
      </c>
      <c r="L66" s="12" t="str">
        <f aca="false">IF(P66="","",COUNTIF($P$4:$P$73,"&gt;"&amp;P66)+COUNTIF($P$4:P66,P66))</f>
        <v/>
      </c>
      <c r="M66" s="12" t="str">
        <f aca="false">IF(L66="","",IF(L66&lt;=13,L66,IF(MOD(INT((L66-14)/13),2)=0,13-MOD(L66-14,13),MOD(L66-14,13)+1)))</f>
        <v/>
      </c>
      <c r="N66" s="11"/>
      <c r="O66" s="12" t="str">
        <f aca="false">IF(N66&lt;&gt;"",N66,M66)</f>
        <v/>
      </c>
      <c r="P66" s="12" t="str">
        <f aca="false">IF(G66="","",G66*1000+N(D66))</f>
        <v/>
      </c>
      <c r="Q66" s="11"/>
      <c r="R66" s="11"/>
      <c r="S66" s="11"/>
      <c r="T66" s="12" t="str">
        <f aca="false">IF(OR(R66="",S66=""),"",R66+S66)</f>
        <v/>
      </c>
      <c r="U66" s="11"/>
      <c r="V66" s="12" t="str">
        <f aca="false">IF(T66="","",IF(T66&lt;=4,"А",IF(T66&lt;=7,"В","С")))</f>
        <v/>
      </c>
      <c r="W66" s="11"/>
      <c r="X66" s="11"/>
      <c r="Y66" s="11"/>
      <c r="Z66" s="12" t="str">
        <f aca="false">IF(OR(X66="",Y66=""),"",X66+Y66)</f>
        <v/>
      </c>
      <c r="AA66" s="11"/>
      <c r="AB66" s="12" t="str">
        <f aca="false">IF(Z66="","",IF(Z66&lt;=4,"А",IF(Z66&lt;=7,"В","С")))</f>
        <v/>
      </c>
      <c r="AC66" s="12" t="str">
        <f aca="false">IF(OR(Z66="",G66=""),"",Z66-G66)</f>
        <v/>
      </c>
      <c r="AD66" s="12" t="str">
        <f aca="false">IF(OR(W66="",D66=""),"",W66-D66)</f>
        <v/>
      </c>
    </row>
    <row r="67" customFormat="false" ht="15" hidden="false" customHeight="false" outlineLevel="0" collapsed="false">
      <c r="A67" s="9" t="n">
        <v>64</v>
      </c>
      <c r="B67" s="10"/>
      <c r="C67" s="11"/>
      <c r="D67" s="11"/>
      <c r="E67" s="11"/>
      <c r="F67" s="11"/>
      <c r="G67" s="12" t="str">
        <f aca="false">IF(OR(E67="",F67=""),"",E67+F67)</f>
        <v/>
      </c>
      <c r="H67" s="11"/>
      <c r="I67" s="12" t="str">
        <f aca="false">IF(G67="","",IF(G67&lt;=4,"А",IF(G67&lt;=7,"В","С")))</f>
        <v/>
      </c>
      <c r="J67" s="11"/>
      <c r="K67" s="12" t="str">
        <f aca="false">IF(J67&lt;&gt;"",J67,I67)</f>
        <v/>
      </c>
      <c r="L67" s="12" t="str">
        <f aca="false">IF(P67="","",COUNTIF($P$4:$P$73,"&gt;"&amp;P67)+COUNTIF($P$4:P67,P67))</f>
        <v/>
      </c>
      <c r="M67" s="12" t="str">
        <f aca="false">IF(L67="","",IF(L67&lt;=13,L67,IF(MOD(INT((L67-14)/13),2)=0,13-MOD(L67-14,13),MOD(L67-14,13)+1)))</f>
        <v/>
      </c>
      <c r="N67" s="11"/>
      <c r="O67" s="12" t="str">
        <f aca="false">IF(N67&lt;&gt;"",N67,M67)</f>
        <v/>
      </c>
      <c r="P67" s="12" t="str">
        <f aca="false">IF(G67="","",G67*1000+N(D67))</f>
        <v/>
      </c>
      <c r="Q67" s="11"/>
      <c r="R67" s="11"/>
      <c r="S67" s="11"/>
      <c r="T67" s="12" t="str">
        <f aca="false">IF(OR(R67="",S67=""),"",R67+S67)</f>
        <v/>
      </c>
      <c r="U67" s="11"/>
      <c r="V67" s="12" t="str">
        <f aca="false">IF(T67="","",IF(T67&lt;=4,"А",IF(T67&lt;=7,"В","С")))</f>
        <v/>
      </c>
      <c r="W67" s="11"/>
      <c r="X67" s="11"/>
      <c r="Y67" s="11"/>
      <c r="Z67" s="12" t="str">
        <f aca="false">IF(OR(X67="",Y67=""),"",X67+Y67)</f>
        <v/>
      </c>
      <c r="AA67" s="11"/>
      <c r="AB67" s="12" t="str">
        <f aca="false">IF(Z67="","",IF(Z67&lt;=4,"А",IF(Z67&lt;=7,"В","С")))</f>
        <v/>
      </c>
      <c r="AC67" s="12" t="str">
        <f aca="false">IF(OR(Z67="",G67=""),"",Z67-G67)</f>
        <v/>
      </c>
      <c r="AD67" s="12" t="str">
        <f aca="false">IF(OR(W67="",D67=""),"",W67-D67)</f>
        <v/>
      </c>
    </row>
    <row r="68" customFormat="false" ht="15" hidden="false" customHeight="false" outlineLevel="0" collapsed="false">
      <c r="A68" s="9" t="n">
        <v>65</v>
      </c>
      <c r="B68" s="10"/>
      <c r="C68" s="11"/>
      <c r="D68" s="11"/>
      <c r="E68" s="11"/>
      <c r="F68" s="11"/>
      <c r="G68" s="12" t="str">
        <f aca="false">IF(OR(E68="",F68=""),"",E68+F68)</f>
        <v/>
      </c>
      <c r="H68" s="11"/>
      <c r="I68" s="12" t="str">
        <f aca="false">IF(G68="","",IF(G68&lt;=4,"А",IF(G68&lt;=7,"В","С")))</f>
        <v/>
      </c>
      <c r="J68" s="11"/>
      <c r="K68" s="12" t="str">
        <f aca="false">IF(J68&lt;&gt;"",J68,I68)</f>
        <v/>
      </c>
      <c r="L68" s="12" t="str">
        <f aca="false">IF(P68="","",COUNTIF($P$4:$P$73,"&gt;"&amp;P68)+COUNTIF($P$4:P68,P68))</f>
        <v/>
      </c>
      <c r="M68" s="12" t="str">
        <f aca="false">IF(L68="","",IF(L68&lt;=13,L68,IF(MOD(INT((L68-14)/13),2)=0,13-MOD(L68-14,13),MOD(L68-14,13)+1)))</f>
        <v/>
      </c>
      <c r="N68" s="11"/>
      <c r="O68" s="12" t="str">
        <f aca="false">IF(N68&lt;&gt;"",N68,M68)</f>
        <v/>
      </c>
      <c r="P68" s="12" t="str">
        <f aca="false">IF(G68="","",G68*1000+N(D68))</f>
        <v/>
      </c>
      <c r="Q68" s="11"/>
      <c r="R68" s="11"/>
      <c r="S68" s="11"/>
      <c r="T68" s="12" t="str">
        <f aca="false">IF(OR(R68="",S68=""),"",R68+S68)</f>
        <v/>
      </c>
      <c r="U68" s="11"/>
      <c r="V68" s="12" t="str">
        <f aca="false">IF(T68="","",IF(T68&lt;=4,"А",IF(T68&lt;=7,"В","С")))</f>
        <v/>
      </c>
      <c r="W68" s="11"/>
      <c r="X68" s="11"/>
      <c r="Y68" s="11"/>
      <c r="Z68" s="12" t="str">
        <f aca="false">IF(OR(X68="",Y68=""),"",X68+Y68)</f>
        <v/>
      </c>
      <c r="AA68" s="11"/>
      <c r="AB68" s="12" t="str">
        <f aca="false">IF(Z68="","",IF(Z68&lt;=4,"А",IF(Z68&lt;=7,"В","С")))</f>
        <v/>
      </c>
      <c r="AC68" s="12" t="str">
        <f aca="false">IF(OR(Z68="",G68=""),"",Z68-G68)</f>
        <v/>
      </c>
      <c r="AD68" s="12" t="str">
        <f aca="false">IF(OR(W68="",D68=""),"",W68-D68)</f>
        <v/>
      </c>
    </row>
    <row r="69" customFormat="false" ht="15" hidden="false" customHeight="false" outlineLevel="0" collapsed="false">
      <c r="A69" s="9" t="n">
        <v>66</v>
      </c>
      <c r="B69" s="10"/>
      <c r="C69" s="11"/>
      <c r="D69" s="11"/>
      <c r="E69" s="11"/>
      <c r="F69" s="11"/>
      <c r="G69" s="12" t="str">
        <f aca="false">IF(OR(E69="",F69=""),"",E69+F69)</f>
        <v/>
      </c>
      <c r="H69" s="11"/>
      <c r="I69" s="12" t="str">
        <f aca="false">IF(G69="","",IF(G69&lt;=4,"А",IF(G69&lt;=7,"В","С")))</f>
        <v/>
      </c>
      <c r="J69" s="11"/>
      <c r="K69" s="12" t="str">
        <f aca="false">IF(J69&lt;&gt;"",J69,I69)</f>
        <v/>
      </c>
      <c r="L69" s="12" t="str">
        <f aca="false">IF(P69="","",COUNTIF($P$4:$P$73,"&gt;"&amp;P69)+COUNTIF($P$4:P69,P69))</f>
        <v/>
      </c>
      <c r="M69" s="12" t="str">
        <f aca="false">IF(L69="","",IF(L69&lt;=13,L69,IF(MOD(INT((L69-14)/13),2)=0,13-MOD(L69-14,13),MOD(L69-14,13)+1)))</f>
        <v/>
      </c>
      <c r="N69" s="11"/>
      <c r="O69" s="12" t="str">
        <f aca="false">IF(N69&lt;&gt;"",N69,M69)</f>
        <v/>
      </c>
      <c r="P69" s="12" t="str">
        <f aca="false">IF(G69="","",G69*1000+N(D69))</f>
        <v/>
      </c>
      <c r="Q69" s="11"/>
      <c r="R69" s="11"/>
      <c r="S69" s="11"/>
      <c r="T69" s="12" t="str">
        <f aca="false">IF(OR(R69="",S69=""),"",R69+S69)</f>
        <v/>
      </c>
      <c r="U69" s="11"/>
      <c r="V69" s="12" t="str">
        <f aca="false">IF(T69="","",IF(T69&lt;=4,"А",IF(T69&lt;=7,"В","С")))</f>
        <v/>
      </c>
      <c r="W69" s="11"/>
      <c r="X69" s="11"/>
      <c r="Y69" s="11"/>
      <c r="Z69" s="12" t="str">
        <f aca="false">IF(OR(X69="",Y69=""),"",X69+Y69)</f>
        <v/>
      </c>
      <c r="AA69" s="11"/>
      <c r="AB69" s="12" t="str">
        <f aca="false">IF(Z69="","",IF(Z69&lt;=4,"А",IF(Z69&lt;=7,"В","С")))</f>
        <v/>
      </c>
      <c r="AC69" s="12" t="str">
        <f aca="false">IF(OR(Z69="",G69=""),"",Z69-G69)</f>
        <v/>
      </c>
      <c r="AD69" s="12" t="str">
        <f aca="false">IF(OR(W69="",D69=""),"",W69-D69)</f>
        <v/>
      </c>
    </row>
    <row r="70" customFormat="false" ht="15" hidden="false" customHeight="false" outlineLevel="0" collapsed="false">
      <c r="A70" s="9" t="n">
        <v>67</v>
      </c>
      <c r="B70" s="10"/>
      <c r="C70" s="11"/>
      <c r="D70" s="11"/>
      <c r="E70" s="11"/>
      <c r="F70" s="11"/>
      <c r="G70" s="12" t="str">
        <f aca="false">IF(OR(E70="",F70=""),"",E70+F70)</f>
        <v/>
      </c>
      <c r="H70" s="11"/>
      <c r="I70" s="12" t="str">
        <f aca="false">IF(G70="","",IF(G70&lt;=4,"А",IF(G70&lt;=7,"В","С")))</f>
        <v/>
      </c>
      <c r="J70" s="11"/>
      <c r="K70" s="12" t="str">
        <f aca="false">IF(J70&lt;&gt;"",J70,I70)</f>
        <v/>
      </c>
      <c r="L70" s="12" t="str">
        <f aca="false">IF(P70="","",COUNTIF($P$4:$P$73,"&gt;"&amp;P70)+COUNTIF($P$4:P70,P70))</f>
        <v/>
      </c>
      <c r="M70" s="12" t="str">
        <f aca="false">IF(L70="","",IF(L70&lt;=13,L70,IF(MOD(INT((L70-14)/13),2)=0,13-MOD(L70-14,13),MOD(L70-14,13)+1)))</f>
        <v/>
      </c>
      <c r="N70" s="11"/>
      <c r="O70" s="12" t="str">
        <f aca="false">IF(N70&lt;&gt;"",N70,M70)</f>
        <v/>
      </c>
      <c r="P70" s="12" t="str">
        <f aca="false">IF(G70="","",G70*1000+N(D70))</f>
        <v/>
      </c>
      <c r="Q70" s="11"/>
      <c r="R70" s="11"/>
      <c r="S70" s="11"/>
      <c r="T70" s="12" t="str">
        <f aca="false">IF(OR(R70="",S70=""),"",R70+S70)</f>
        <v/>
      </c>
      <c r="U70" s="11"/>
      <c r="V70" s="12" t="str">
        <f aca="false">IF(T70="","",IF(T70&lt;=4,"А",IF(T70&lt;=7,"В","С")))</f>
        <v/>
      </c>
      <c r="W70" s="11"/>
      <c r="X70" s="11"/>
      <c r="Y70" s="11"/>
      <c r="Z70" s="12" t="str">
        <f aca="false">IF(OR(X70="",Y70=""),"",X70+Y70)</f>
        <v/>
      </c>
      <c r="AA70" s="11"/>
      <c r="AB70" s="12" t="str">
        <f aca="false">IF(Z70="","",IF(Z70&lt;=4,"А",IF(Z70&lt;=7,"В","С")))</f>
        <v/>
      </c>
      <c r="AC70" s="12" t="str">
        <f aca="false">IF(OR(Z70="",G70=""),"",Z70-G70)</f>
        <v/>
      </c>
      <c r="AD70" s="12" t="str">
        <f aca="false">IF(OR(W70="",D70=""),"",W70-D70)</f>
        <v/>
      </c>
    </row>
    <row r="71" customFormat="false" ht="15" hidden="false" customHeight="false" outlineLevel="0" collapsed="false">
      <c r="A71" s="9" t="n">
        <v>68</v>
      </c>
      <c r="B71" s="10"/>
      <c r="C71" s="11"/>
      <c r="D71" s="11"/>
      <c r="E71" s="11"/>
      <c r="F71" s="11"/>
      <c r="G71" s="12" t="str">
        <f aca="false">IF(OR(E71="",F71=""),"",E71+F71)</f>
        <v/>
      </c>
      <c r="H71" s="11"/>
      <c r="I71" s="12" t="str">
        <f aca="false">IF(G71="","",IF(G71&lt;=4,"А",IF(G71&lt;=7,"В","С")))</f>
        <v/>
      </c>
      <c r="J71" s="11"/>
      <c r="K71" s="12" t="str">
        <f aca="false">IF(J71&lt;&gt;"",J71,I71)</f>
        <v/>
      </c>
      <c r="L71" s="12" t="str">
        <f aca="false">IF(P71="","",COUNTIF($P$4:$P$73,"&gt;"&amp;P71)+COUNTIF($P$4:P71,P71))</f>
        <v/>
      </c>
      <c r="M71" s="12" t="str">
        <f aca="false">IF(L71="","",IF(L71&lt;=13,L71,IF(MOD(INT((L71-14)/13),2)=0,13-MOD(L71-14,13),MOD(L71-14,13)+1)))</f>
        <v/>
      </c>
      <c r="N71" s="11"/>
      <c r="O71" s="12" t="str">
        <f aca="false">IF(N71&lt;&gt;"",N71,M71)</f>
        <v/>
      </c>
      <c r="P71" s="12" t="str">
        <f aca="false">IF(G71="","",G71*1000+N(D71))</f>
        <v/>
      </c>
      <c r="Q71" s="11"/>
      <c r="R71" s="11"/>
      <c r="S71" s="11"/>
      <c r="T71" s="12" t="str">
        <f aca="false">IF(OR(R71="",S71=""),"",R71+S71)</f>
        <v/>
      </c>
      <c r="U71" s="11"/>
      <c r="V71" s="12" t="str">
        <f aca="false">IF(T71="","",IF(T71&lt;=4,"А",IF(T71&lt;=7,"В","С")))</f>
        <v/>
      </c>
      <c r="W71" s="11"/>
      <c r="X71" s="11"/>
      <c r="Y71" s="11"/>
      <c r="Z71" s="12" t="str">
        <f aca="false">IF(OR(X71="",Y71=""),"",X71+Y71)</f>
        <v/>
      </c>
      <c r="AA71" s="11"/>
      <c r="AB71" s="12" t="str">
        <f aca="false">IF(Z71="","",IF(Z71&lt;=4,"А",IF(Z71&lt;=7,"В","С")))</f>
        <v/>
      </c>
      <c r="AC71" s="12" t="str">
        <f aca="false">IF(OR(Z71="",G71=""),"",Z71-G71)</f>
        <v/>
      </c>
      <c r="AD71" s="12" t="str">
        <f aca="false">IF(OR(W71="",D71=""),"",W71-D71)</f>
        <v/>
      </c>
    </row>
    <row r="72" customFormat="false" ht="15" hidden="false" customHeight="false" outlineLevel="0" collapsed="false">
      <c r="A72" s="9" t="n">
        <v>69</v>
      </c>
      <c r="B72" s="10"/>
      <c r="C72" s="11"/>
      <c r="D72" s="11"/>
      <c r="E72" s="11"/>
      <c r="F72" s="11"/>
      <c r="G72" s="12" t="str">
        <f aca="false">IF(OR(E72="",F72=""),"",E72+F72)</f>
        <v/>
      </c>
      <c r="H72" s="11"/>
      <c r="I72" s="12" t="str">
        <f aca="false">IF(G72="","",IF(G72&lt;=4,"А",IF(G72&lt;=7,"В","С")))</f>
        <v/>
      </c>
      <c r="J72" s="11"/>
      <c r="K72" s="12" t="str">
        <f aca="false">IF(J72&lt;&gt;"",J72,I72)</f>
        <v/>
      </c>
      <c r="L72" s="12" t="str">
        <f aca="false">IF(P72="","",COUNTIF($P$4:$P$73,"&gt;"&amp;P72)+COUNTIF($P$4:P72,P72))</f>
        <v/>
      </c>
      <c r="M72" s="12" t="str">
        <f aca="false">IF(L72="","",IF(L72&lt;=13,L72,IF(MOD(INT((L72-14)/13),2)=0,13-MOD(L72-14,13),MOD(L72-14,13)+1)))</f>
        <v/>
      </c>
      <c r="N72" s="11"/>
      <c r="O72" s="12" t="str">
        <f aca="false">IF(N72&lt;&gt;"",N72,M72)</f>
        <v/>
      </c>
      <c r="P72" s="12" t="str">
        <f aca="false">IF(G72="","",G72*1000+N(D72))</f>
        <v/>
      </c>
      <c r="Q72" s="11"/>
      <c r="R72" s="11"/>
      <c r="S72" s="11"/>
      <c r="T72" s="12" t="str">
        <f aca="false">IF(OR(R72="",S72=""),"",R72+S72)</f>
        <v/>
      </c>
      <c r="U72" s="11"/>
      <c r="V72" s="12" t="str">
        <f aca="false">IF(T72="","",IF(T72&lt;=4,"А",IF(T72&lt;=7,"В","С")))</f>
        <v/>
      </c>
      <c r="W72" s="11"/>
      <c r="X72" s="11"/>
      <c r="Y72" s="11"/>
      <c r="Z72" s="12" t="str">
        <f aca="false">IF(OR(X72="",Y72=""),"",X72+Y72)</f>
        <v/>
      </c>
      <c r="AA72" s="11"/>
      <c r="AB72" s="12" t="str">
        <f aca="false">IF(Z72="","",IF(Z72&lt;=4,"А",IF(Z72&lt;=7,"В","С")))</f>
        <v/>
      </c>
      <c r="AC72" s="12" t="str">
        <f aca="false">IF(OR(Z72="",G72=""),"",Z72-G72)</f>
        <v/>
      </c>
      <c r="AD72" s="12" t="str">
        <f aca="false">IF(OR(W72="",D72=""),"",W72-D72)</f>
        <v/>
      </c>
    </row>
    <row r="73" customFormat="false" ht="15" hidden="false" customHeight="false" outlineLevel="0" collapsed="false">
      <c r="A73" s="9" t="n">
        <v>70</v>
      </c>
      <c r="B73" s="10"/>
      <c r="C73" s="11"/>
      <c r="D73" s="11"/>
      <c r="E73" s="11"/>
      <c r="F73" s="11"/>
      <c r="G73" s="12" t="str">
        <f aca="false">IF(OR(E73="",F73=""),"",E73+F73)</f>
        <v/>
      </c>
      <c r="H73" s="11"/>
      <c r="I73" s="12" t="str">
        <f aca="false">IF(G73="","",IF(G73&lt;=4,"А",IF(G73&lt;=7,"В","С")))</f>
        <v/>
      </c>
      <c r="J73" s="11"/>
      <c r="K73" s="12" t="str">
        <f aca="false">IF(J73&lt;&gt;"",J73,I73)</f>
        <v/>
      </c>
      <c r="L73" s="12" t="str">
        <f aca="false">IF(P73="","",COUNTIF($P$4:$P$73,"&gt;"&amp;P73)+COUNTIF($P$4:P73,P73))</f>
        <v/>
      </c>
      <c r="M73" s="12" t="str">
        <f aca="false">IF(L73="","",IF(L73&lt;=13,L73,IF(MOD(INT((L73-14)/13),2)=0,13-MOD(L73-14,13),MOD(L73-14,13)+1)))</f>
        <v/>
      </c>
      <c r="N73" s="11"/>
      <c r="O73" s="12" t="str">
        <f aca="false">IF(N73&lt;&gt;"",N73,M73)</f>
        <v/>
      </c>
      <c r="P73" s="12" t="str">
        <f aca="false">IF(G73="","",G73*1000+N(D73))</f>
        <v/>
      </c>
      <c r="Q73" s="11"/>
      <c r="R73" s="11"/>
      <c r="S73" s="11"/>
      <c r="T73" s="12" t="str">
        <f aca="false">IF(OR(R73="",S73=""),"",R73+S73)</f>
        <v/>
      </c>
      <c r="U73" s="11"/>
      <c r="V73" s="12" t="str">
        <f aca="false">IF(T73="","",IF(T73&lt;=4,"А",IF(T73&lt;=7,"В","С")))</f>
        <v/>
      </c>
      <c r="W73" s="11"/>
      <c r="X73" s="11"/>
      <c r="Y73" s="11"/>
      <c r="Z73" s="12" t="str">
        <f aca="false">IF(OR(X73="",Y73=""),"",X73+Y73)</f>
        <v/>
      </c>
      <c r="AA73" s="11"/>
      <c r="AB73" s="12" t="str">
        <f aca="false">IF(Z73="","",IF(Z73&lt;=4,"А",IF(Z73&lt;=7,"В","С")))</f>
        <v/>
      </c>
      <c r="AC73" s="12" t="str">
        <f aca="false">IF(OR(Z73="",G73=""),"",Z73-G73)</f>
        <v/>
      </c>
      <c r="AD73" s="12" t="str">
        <f aca="false">IF(OR(W73="",D73=""),"",W73-D73)</f>
        <v/>
      </c>
    </row>
  </sheetData>
  <mergeCells count="4">
    <mergeCell ref="D2:P2"/>
    <mergeCell ref="Q2:V2"/>
    <mergeCell ref="W2:AB2"/>
    <mergeCell ref="AC2:AD2"/>
  </mergeCells>
  <dataValidations count="4">
    <dataValidation allowBlank="false" error="0–5 хооронд бүхэл тоо оруулна уу" errorStyle="stop" operator="between" showDropDown="false" showErrorMessage="true" showInputMessage="false" sqref="E4:F73 R4:S73 X4:Y73" type="whole">
      <formula1>0</formula1>
      <formula2>5</formula2>
    </dataValidation>
    <dataValidation allowBlank="false" error="Анги 6–9" errorStyle="stop" operator="between" showDropDown="false" showErrorMessage="true" showInputMessage="false" sqref="C4:C73" type="whole">
      <formula1>6</formula1>
      <formula2>9</formula2>
    </dataValidation>
    <dataValidation allowBlank="true" errorStyle="stop" operator="between" showDropDown="false" showErrorMessage="false" showInputMessage="false" sqref="J4:J73" type="list">
      <formula1>"А,В,С"</formula1>
      <formula2>0</formula2>
    </dataValidation>
    <dataValidation allowBlank="false" error="Бүлэг 1–13" errorStyle="stop" operator="between" showDropDown="false" showErrorMessage="true" showInputMessage="false" sqref="N4:N73" type="whole">
      <formula1>1</formula1>
      <formula2>13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7" min="3" style="0" width="7"/>
    <col collapsed="false" customWidth="true" hidden="false" outlineLevel="0" max="38" min="38" style="0" width="9"/>
    <col collapsed="false" customWidth="true" hidden="false" outlineLevel="0" max="39" min="39" style="0" width="10"/>
  </cols>
  <sheetData>
    <row r="1" customFormat="false" ht="16.15" hidden="false" customHeight="false" outlineLevel="0" collapsed="false">
      <c r="A1" s="7" t="s">
        <v>39</v>
      </c>
    </row>
    <row r="2" customFormat="false" ht="15" hidden="false" customHeight="false" outlineLevel="0" collapsed="false">
      <c r="B2" s="13" t="s">
        <v>40</v>
      </c>
      <c r="E2" s="14" t="n">
        <v>2</v>
      </c>
      <c r="F2" s="14" t="n">
        <v>3</v>
      </c>
      <c r="G2" s="14" t="n">
        <v>4</v>
      </c>
      <c r="H2" s="14" t="n">
        <v>5</v>
      </c>
      <c r="I2" s="14" t="n">
        <v>6</v>
      </c>
      <c r="J2" s="14" t="n">
        <v>7</v>
      </c>
      <c r="K2" s="14" t="n">
        <v>8</v>
      </c>
      <c r="L2" s="14" t="n">
        <v>9</v>
      </c>
      <c r="M2" s="14" t="n">
        <v>10</v>
      </c>
      <c r="N2" s="14" t="n">
        <v>11</v>
      </c>
      <c r="O2" s="14" t="n">
        <v>12</v>
      </c>
      <c r="P2" s="14" t="n">
        <v>13</v>
      </c>
      <c r="Q2" s="14" t="n">
        <v>14</v>
      </c>
      <c r="R2" s="14" t="n">
        <v>15</v>
      </c>
      <c r="S2" s="14" t="n">
        <v>16</v>
      </c>
      <c r="T2" s="14" t="n">
        <v>17</v>
      </c>
      <c r="U2" s="14" t="n">
        <v>19</v>
      </c>
      <c r="V2" s="14" t="n">
        <v>20</v>
      </c>
      <c r="W2" s="14" t="n">
        <v>21</v>
      </c>
      <c r="X2" s="14" t="n">
        <v>22</v>
      </c>
      <c r="Y2" s="14" t="n">
        <v>23</v>
      </c>
      <c r="Z2" s="14" t="n">
        <v>24</v>
      </c>
      <c r="AA2" s="14" t="n">
        <v>25</v>
      </c>
      <c r="AB2" s="14" t="n">
        <v>26</v>
      </c>
      <c r="AC2" s="14" t="n">
        <v>27</v>
      </c>
      <c r="AD2" s="14" t="n">
        <v>28</v>
      </c>
      <c r="AE2" s="14" t="n">
        <v>29</v>
      </c>
      <c r="AF2" s="14" t="n">
        <v>30</v>
      </c>
      <c r="AG2" s="14" t="n">
        <v>31</v>
      </c>
      <c r="AH2" s="14" t="n">
        <v>32</v>
      </c>
      <c r="AI2" s="14" t="n">
        <v>33</v>
      </c>
      <c r="AJ2" s="14" t="n">
        <v>34</v>
      </c>
      <c r="AK2" s="14" t="n">
        <v>35</v>
      </c>
    </row>
    <row r="3" customFormat="false" ht="23.85" hidden="false" customHeight="false" outlineLevel="0" collapsed="false">
      <c r="A3" s="4" t="s">
        <v>13</v>
      </c>
      <c r="B3" s="4" t="s">
        <v>14</v>
      </c>
      <c r="C3" s="4" t="s">
        <v>31</v>
      </c>
      <c r="D3" s="4" t="s">
        <v>35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51</v>
      </c>
      <c r="P3" s="4" t="s">
        <v>52</v>
      </c>
      <c r="Q3" s="4" t="s">
        <v>53</v>
      </c>
      <c r="R3" s="4" t="s">
        <v>54</v>
      </c>
      <c r="S3" s="4" t="s">
        <v>55</v>
      </c>
      <c r="T3" s="4" t="s">
        <v>56</v>
      </c>
      <c r="U3" s="4" t="s">
        <v>57</v>
      </c>
      <c r="V3" s="4" t="s">
        <v>58</v>
      </c>
      <c r="W3" s="4" t="s">
        <v>59</v>
      </c>
      <c r="X3" s="4" t="s">
        <v>60</v>
      </c>
      <c r="Y3" s="4" t="s">
        <v>61</v>
      </c>
      <c r="Z3" s="4" t="s">
        <v>62</v>
      </c>
      <c r="AA3" s="4" t="s">
        <v>63</v>
      </c>
      <c r="AB3" s="4" t="s">
        <v>64</v>
      </c>
      <c r="AC3" s="4" t="s">
        <v>65</v>
      </c>
      <c r="AD3" s="4" t="s">
        <v>66</v>
      </c>
      <c r="AE3" s="4" t="s">
        <v>67</v>
      </c>
      <c r="AF3" s="4" t="s">
        <v>68</v>
      </c>
      <c r="AG3" s="4" t="s">
        <v>69</v>
      </c>
      <c r="AH3" s="4" t="s">
        <v>70</v>
      </c>
      <c r="AI3" s="4" t="s">
        <v>71</v>
      </c>
      <c r="AJ3" s="4" t="s">
        <v>72</v>
      </c>
      <c r="AK3" s="4" t="s">
        <v>73</v>
      </c>
      <c r="AL3" s="4" t="s">
        <v>74</v>
      </c>
      <c r="AM3" s="4" t="s">
        <v>75</v>
      </c>
    </row>
    <row r="4" customFormat="false" ht="15" hidden="false" customHeight="false" outlineLevel="0" collapsed="false">
      <c r="A4" s="9" t="n">
        <v>1</v>
      </c>
      <c r="B4" s="15" t="str">
        <f aca="false">IF(Сурагчид!B4="","",Сурагчид!B4)</f>
        <v/>
      </c>
      <c r="C4" s="12" t="str">
        <f aca="false">Сурагчид!K4</f>
        <v/>
      </c>
      <c r="D4" s="12" t="str">
        <f aca="false">Сурагчид!O4</f>
        <v/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6" t="str">
        <f aca="false">IF(COUNT(E4:AK4)=0,"",AVERAGE(E4:AK4))</f>
        <v/>
      </c>
      <c r="AM4" s="12" t="n">
        <f aca="false">COUNT(E4:AK4)</f>
        <v>0</v>
      </c>
    </row>
    <row r="5" customFormat="false" ht="15" hidden="false" customHeight="false" outlineLevel="0" collapsed="false">
      <c r="A5" s="9" t="n">
        <v>2</v>
      </c>
      <c r="B5" s="15" t="str">
        <f aca="false">IF(Сурагчид!B5="","",Сурагчид!B5)</f>
        <v/>
      </c>
      <c r="C5" s="12" t="str">
        <f aca="false">Сурагчид!K5</f>
        <v/>
      </c>
      <c r="D5" s="12" t="str">
        <f aca="false">Сурагчид!O5</f>
        <v/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6" t="str">
        <f aca="false">IF(COUNT(E5:AK5)=0,"",AVERAGE(E5:AK5))</f>
        <v/>
      </c>
      <c r="AM5" s="12" t="n">
        <f aca="false">COUNT(E5:AK5)</f>
        <v>0</v>
      </c>
    </row>
    <row r="6" customFormat="false" ht="15" hidden="false" customHeight="false" outlineLevel="0" collapsed="false">
      <c r="A6" s="9" t="n">
        <v>3</v>
      </c>
      <c r="B6" s="15" t="str">
        <f aca="false">IF(Сурагчид!B6="","",Сурагчид!B6)</f>
        <v/>
      </c>
      <c r="C6" s="12" t="str">
        <f aca="false">Сурагчид!K6</f>
        <v/>
      </c>
      <c r="D6" s="12" t="str">
        <f aca="false">Сурагчид!O6</f>
        <v/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6" t="str">
        <f aca="false">IF(COUNT(E6:AK6)=0,"",AVERAGE(E6:AK6))</f>
        <v/>
      </c>
      <c r="AM6" s="12" t="n">
        <f aca="false">COUNT(E6:AK6)</f>
        <v>0</v>
      </c>
    </row>
    <row r="7" customFormat="false" ht="15" hidden="false" customHeight="false" outlineLevel="0" collapsed="false">
      <c r="A7" s="9" t="n">
        <v>4</v>
      </c>
      <c r="B7" s="15" t="str">
        <f aca="false">IF(Сурагчид!B7="","",Сурагчид!B7)</f>
        <v/>
      </c>
      <c r="C7" s="12" t="str">
        <f aca="false">Сурагчид!K7</f>
        <v/>
      </c>
      <c r="D7" s="12" t="str">
        <f aca="false">Сурагчид!O7</f>
        <v/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6" t="str">
        <f aca="false">IF(COUNT(E7:AK7)=0,"",AVERAGE(E7:AK7))</f>
        <v/>
      </c>
      <c r="AM7" s="12" t="n">
        <f aca="false">COUNT(E7:AK7)</f>
        <v>0</v>
      </c>
    </row>
    <row r="8" customFormat="false" ht="15" hidden="false" customHeight="false" outlineLevel="0" collapsed="false">
      <c r="A8" s="9" t="n">
        <v>5</v>
      </c>
      <c r="B8" s="15" t="str">
        <f aca="false">IF(Сурагчид!B8="","",Сурагчид!B8)</f>
        <v/>
      </c>
      <c r="C8" s="12" t="str">
        <f aca="false">Сурагчид!K8</f>
        <v/>
      </c>
      <c r="D8" s="12" t="str">
        <f aca="false">Сурагчид!O8</f>
        <v/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6" t="str">
        <f aca="false">IF(COUNT(E8:AK8)=0,"",AVERAGE(E8:AK8))</f>
        <v/>
      </c>
      <c r="AM8" s="12" t="n">
        <f aca="false">COUNT(E8:AK8)</f>
        <v>0</v>
      </c>
    </row>
    <row r="9" customFormat="false" ht="15" hidden="false" customHeight="false" outlineLevel="0" collapsed="false">
      <c r="A9" s="9" t="n">
        <v>6</v>
      </c>
      <c r="B9" s="15" t="str">
        <f aca="false">IF(Сурагчид!B9="","",Сурагчид!B9)</f>
        <v/>
      </c>
      <c r="C9" s="12" t="str">
        <f aca="false">Сурагчид!K9</f>
        <v/>
      </c>
      <c r="D9" s="12" t="str">
        <f aca="false">Сурагчид!O9</f>
        <v/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6" t="str">
        <f aca="false">IF(COUNT(E9:AK9)=0,"",AVERAGE(E9:AK9))</f>
        <v/>
      </c>
      <c r="AM9" s="12" t="n">
        <f aca="false">COUNT(E9:AK9)</f>
        <v>0</v>
      </c>
    </row>
    <row r="10" customFormat="false" ht="15" hidden="false" customHeight="false" outlineLevel="0" collapsed="false">
      <c r="A10" s="9" t="n">
        <v>7</v>
      </c>
      <c r="B10" s="15" t="str">
        <f aca="false">IF(Сурагчид!B10="","",Сурагчид!B10)</f>
        <v/>
      </c>
      <c r="C10" s="12" t="str">
        <f aca="false">Сурагчид!K10</f>
        <v/>
      </c>
      <c r="D10" s="12" t="str">
        <f aca="false">Сурагчид!O10</f>
        <v/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6" t="str">
        <f aca="false">IF(COUNT(E10:AK10)=0,"",AVERAGE(E10:AK10))</f>
        <v/>
      </c>
      <c r="AM10" s="12" t="n">
        <f aca="false">COUNT(E10:AK10)</f>
        <v>0</v>
      </c>
    </row>
    <row r="11" customFormat="false" ht="15" hidden="false" customHeight="false" outlineLevel="0" collapsed="false">
      <c r="A11" s="9" t="n">
        <v>8</v>
      </c>
      <c r="B11" s="15" t="str">
        <f aca="false">IF(Сурагчид!B11="","",Сурагчид!B11)</f>
        <v/>
      </c>
      <c r="C11" s="12" t="str">
        <f aca="false">Сурагчид!K11</f>
        <v/>
      </c>
      <c r="D11" s="12" t="str">
        <f aca="false">Сурагчид!O11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6" t="str">
        <f aca="false">IF(COUNT(E11:AK11)=0,"",AVERAGE(E11:AK11))</f>
        <v/>
      </c>
      <c r="AM11" s="12" t="n">
        <f aca="false">COUNT(E11:AK11)</f>
        <v>0</v>
      </c>
    </row>
    <row r="12" customFormat="false" ht="15" hidden="false" customHeight="false" outlineLevel="0" collapsed="false">
      <c r="A12" s="9" t="n">
        <v>9</v>
      </c>
      <c r="B12" s="15" t="str">
        <f aca="false">IF(Сурагчид!B12="","",Сурагчид!B12)</f>
        <v/>
      </c>
      <c r="C12" s="12" t="str">
        <f aca="false">Сурагчид!K12</f>
        <v/>
      </c>
      <c r="D12" s="12" t="str">
        <f aca="false">Сурагчид!O12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6" t="str">
        <f aca="false">IF(COUNT(E12:AK12)=0,"",AVERAGE(E12:AK12))</f>
        <v/>
      </c>
      <c r="AM12" s="12" t="n">
        <f aca="false">COUNT(E12:AK12)</f>
        <v>0</v>
      </c>
    </row>
    <row r="13" customFormat="false" ht="15" hidden="false" customHeight="false" outlineLevel="0" collapsed="false">
      <c r="A13" s="9" t="n">
        <v>10</v>
      </c>
      <c r="B13" s="15" t="str">
        <f aca="false">IF(Сурагчид!B13="","",Сурагчид!B13)</f>
        <v/>
      </c>
      <c r="C13" s="12" t="str">
        <f aca="false">Сурагчид!K13</f>
        <v/>
      </c>
      <c r="D13" s="12" t="str">
        <f aca="false">Сурагчид!O13</f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6" t="str">
        <f aca="false">IF(COUNT(E13:AK13)=0,"",AVERAGE(E13:AK13))</f>
        <v/>
      </c>
      <c r="AM13" s="12" t="n">
        <f aca="false">COUNT(E13:AK13)</f>
        <v>0</v>
      </c>
    </row>
    <row r="14" customFormat="false" ht="15" hidden="false" customHeight="false" outlineLevel="0" collapsed="false">
      <c r="A14" s="9" t="n">
        <v>11</v>
      </c>
      <c r="B14" s="15" t="str">
        <f aca="false">IF(Сурагчид!B14="","",Сурагчид!B14)</f>
        <v/>
      </c>
      <c r="C14" s="12" t="str">
        <f aca="false">Сурагчид!K14</f>
        <v/>
      </c>
      <c r="D14" s="12" t="str">
        <f aca="false">Сурагчид!O14</f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6" t="str">
        <f aca="false">IF(COUNT(E14:AK14)=0,"",AVERAGE(E14:AK14))</f>
        <v/>
      </c>
      <c r="AM14" s="12" t="n">
        <f aca="false">COUNT(E14:AK14)</f>
        <v>0</v>
      </c>
    </row>
    <row r="15" customFormat="false" ht="15" hidden="false" customHeight="false" outlineLevel="0" collapsed="false">
      <c r="A15" s="9" t="n">
        <v>12</v>
      </c>
      <c r="B15" s="15" t="str">
        <f aca="false">IF(Сурагчид!B15="","",Сурагчид!B15)</f>
        <v/>
      </c>
      <c r="C15" s="12" t="str">
        <f aca="false">Сурагчид!K15</f>
        <v/>
      </c>
      <c r="D15" s="12" t="str">
        <f aca="false">Сурагчид!O15</f>
        <v/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6" t="str">
        <f aca="false">IF(COUNT(E15:AK15)=0,"",AVERAGE(E15:AK15))</f>
        <v/>
      </c>
      <c r="AM15" s="12" t="n">
        <f aca="false">COUNT(E15:AK15)</f>
        <v>0</v>
      </c>
    </row>
    <row r="16" customFormat="false" ht="15" hidden="false" customHeight="false" outlineLevel="0" collapsed="false">
      <c r="A16" s="9" t="n">
        <v>13</v>
      </c>
      <c r="B16" s="15" t="str">
        <f aca="false">IF(Сурагчид!B16="","",Сурагчид!B16)</f>
        <v/>
      </c>
      <c r="C16" s="12" t="str">
        <f aca="false">Сурагчид!K16</f>
        <v/>
      </c>
      <c r="D16" s="12" t="str">
        <f aca="false">Сурагчид!O16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6" t="str">
        <f aca="false">IF(COUNT(E16:AK16)=0,"",AVERAGE(E16:AK16))</f>
        <v/>
      </c>
      <c r="AM16" s="12" t="n">
        <f aca="false">COUNT(E16:AK16)</f>
        <v>0</v>
      </c>
    </row>
    <row r="17" customFormat="false" ht="15" hidden="false" customHeight="false" outlineLevel="0" collapsed="false">
      <c r="A17" s="9" t="n">
        <v>14</v>
      </c>
      <c r="B17" s="15" t="str">
        <f aca="false">IF(Сурагчид!B17="","",Сурагчид!B17)</f>
        <v/>
      </c>
      <c r="C17" s="12" t="str">
        <f aca="false">Сурагчид!K17</f>
        <v/>
      </c>
      <c r="D17" s="12" t="str">
        <f aca="false">Сурагчид!O17</f>
        <v/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6" t="str">
        <f aca="false">IF(COUNT(E17:AK17)=0,"",AVERAGE(E17:AK17))</f>
        <v/>
      </c>
      <c r="AM17" s="12" t="n">
        <f aca="false">COUNT(E17:AK17)</f>
        <v>0</v>
      </c>
    </row>
    <row r="18" customFormat="false" ht="15" hidden="false" customHeight="false" outlineLevel="0" collapsed="false">
      <c r="A18" s="9" t="n">
        <v>15</v>
      </c>
      <c r="B18" s="15" t="str">
        <f aca="false">IF(Сурагчид!B18="","",Сурагчид!B18)</f>
        <v/>
      </c>
      <c r="C18" s="12" t="str">
        <f aca="false">Сурагчид!K18</f>
        <v/>
      </c>
      <c r="D18" s="12" t="str">
        <f aca="false">Сурагчид!O18</f>
        <v/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6" t="str">
        <f aca="false">IF(COUNT(E18:AK18)=0,"",AVERAGE(E18:AK18))</f>
        <v/>
      </c>
      <c r="AM18" s="12" t="n">
        <f aca="false">COUNT(E18:AK18)</f>
        <v>0</v>
      </c>
    </row>
    <row r="19" customFormat="false" ht="15" hidden="false" customHeight="false" outlineLevel="0" collapsed="false">
      <c r="A19" s="9" t="n">
        <v>16</v>
      </c>
      <c r="B19" s="15" t="str">
        <f aca="false">IF(Сурагчид!B19="","",Сурагчид!B19)</f>
        <v/>
      </c>
      <c r="C19" s="12" t="str">
        <f aca="false">Сурагчид!K19</f>
        <v/>
      </c>
      <c r="D19" s="12" t="str">
        <f aca="false">Сурагчид!O19</f>
        <v/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6" t="str">
        <f aca="false">IF(COUNT(E19:AK19)=0,"",AVERAGE(E19:AK19))</f>
        <v/>
      </c>
      <c r="AM19" s="12" t="n">
        <f aca="false">COUNT(E19:AK19)</f>
        <v>0</v>
      </c>
    </row>
    <row r="20" customFormat="false" ht="15" hidden="false" customHeight="false" outlineLevel="0" collapsed="false">
      <c r="A20" s="9" t="n">
        <v>17</v>
      </c>
      <c r="B20" s="15" t="str">
        <f aca="false">IF(Сурагчид!B20="","",Сурагчид!B20)</f>
        <v/>
      </c>
      <c r="C20" s="12" t="str">
        <f aca="false">Сурагчид!K20</f>
        <v/>
      </c>
      <c r="D20" s="12" t="str">
        <f aca="false">Сурагчид!O20</f>
        <v/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6" t="str">
        <f aca="false">IF(COUNT(E20:AK20)=0,"",AVERAGE(E20:AK20))</f>
        <v/>
      </c>
      <c r="AM20" s="12" t="n">
        <f aca="false">COUNT(E20:AK20)</f>
        <v>0</v>
      </c>
    </row>
    <row r="21" customFormat="false" ht="15" hidden="false" customHeight="false" outlineLevel="0" collapsed="false">
      <c r="A21" s="9" t="n">
        <v>18</v>
      </c>
      <c r="B21" s="15" t="str">
        <f aca="false">IF(Сурагчид!B21="","",Сурагчид!B21)</f>
        <v/>
      </c>
      <c r="C21" s="12" t="str">
        <f aca="false">Сурагчид!K21</f>
        <v/>
      </c>
      <c r="D21" s="12" t="str">
        <f aca="false">Сурагчид!O21</f>
        <v/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6" t="str">
        <f aca="false">IF(COUNT(E21:AK21)=0,"",AVERAGE(E21:AK21))</f>
        <v/>
      </c>
      <c r="AM21" s="12" t="n">
        <f aca="false">COUNT(E21:AK21)</f>
        <v>0</v>
      </c>
    </row>
    <row r="22" customFormat="false" ht="15" hidden="false" customHeight="false" outlineLevel="0" collapsed="false">
      <c r="A22" s="9" t="n">
        <v>19</v>
      </c>
      <c r="B22" s="15" t="str">
        <f aca="false">IF(Сурагчид!B22="","",Сурагчид!B22)</f>
        <v/>
      </c>
      <c r="C22" s="12" t="str">
        <f aca="false">Сурагчид!K22</f>
        <v/>
      </c>
      <c r="D22" s="12" t="str">
        <f aca="false">Сурагчид!O22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6" t="str">
        <f aca="false">IF(COUNT(E22:AK22)=0,"",AVERAGE(E22:AK22))</f>
        <v/>
      </c>
      <c r="AM22" s="12" t="n">
        <f aca="false">COUNT(E22:AK22)</f>
        <v>0</v>
      </c>
    </row>
    <row r="23" customFormat="false" ht="15" hidden="false" customHeight="false" outlineLevel="0" collapsed="false">
      <c r="A23" s="9" t="n">
        <v>20</v>
      </c>
      <c r="B23" s="15" t="str">
        <f aca="false">IF(Сурагчид!B23="","",Сурагчид!B23)</f>
        <v/>
      </c>
      <c r="C23" s="12" t="str">
        <f aca="false">Сурагчид!K23</f>
        <v/>
      </c>
      <c r="D23" s="12" t="str">
        <f aca="false">Сурагчид!O23</f>
        <v/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6" t="str">
        <f aca="false">IF(COUNT(E23:AK23)=0,"",AVERAGE(E23:AK23))</f>
        <v/>
      </c>
      <c r="AM23" s="12" t="n">
        <f aca="false">COUNT(E23:AK23)</f>
        <v>0</v>
      </c>
    </row>
    <row r="24" customFormat="false" ht="15" hidden="false" customHeight="false" outlineLevel="0" collapsed="false">
      <c r="A24" s="9" t="n">
        <v>21</v>
      </c>
      <c r="B24" s="15" t="str">
        <f aca="false">IF(Сурагчид!B24="","",Сурагчид!B24)</f>
        <v/>
      </c>
      <c r="C24" s="12" t="str">
        <f aca="false">Сурагчид!K24</f>
        <v/>
      </c>
      <c r="D24" s="12" t="str">
        <f aca="false">Сурагчид!O24</f>
        <v/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6" t="str">
        <f aca="false">IF(COUNT(E24:AK24)=0,"",AVERAGE(E24:AK24))</f>
        <v/>
      </c>
      <c r="AM24" s="12" t="n">
        <f aca="false">COUNT(E24:AK24)</f>
        <v>0</v>
      </c>
    </row>
    <row r="25" customFormat="false" ht="15" hidden="false" customHeight="false" outlineLevel="0" collapsed="false">
      <c r="A25" s="9" t="n">
        <v>22</v>
      </c>
      <c r="B25" s="15" t="str">
        <f aca="false">IF(Сурагчид!B25="","",Сурагчид!B25)</f>
        <v/>
      </c>
      <c r="C25" s="12" t="str">
        <f aca="false">Сурагчид!K25</f>
        <v/>
      </c>
      <c r="D25" s="12" t="str">
        <f aca="false">Сурагчид!O25</f>
        <v/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6" t="str">
        <f aca="false">IF(COUNT(E25:AK25)=0,"",AVERAGE(E25:AK25))</f>
        <v/>
      </c>
      <c r="AM25" s="12" t="n">
        <f aca="false">COUNT(E25:AK25)</f>
        <v>0</v>
      </c>
    </row>
    <row r="26" customFormat="false" ht="15" hidden="false" customHeight="false" outlineLevel="0" collapsed="false">
      <c r="A26" s="9" t="n">
        <v>23</v>
      </c>
      <c r="B26" s="15" t="str">
        <f aca="false">IF(Сурагчид!B26="","",Сурагчид!B26)</f>
        <v/>
      </c>
      <c r="C26" s="12" t="str">
        <f aca="false">Сурагчид!K26</f>
        <v/>
      </c>
      <c r="D26" s="12" t="str">
        <f aca="false">Сурагчид!O26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6" t="str">
        <f aca="false">IF(COUNT(E26:AK26)=0,"",AVERAGE(E26:AK26))</f>
        <v/>
      </c>
      <c r="AM26" s="12" t="n">
        <f aca="false">COUNT(E26:AK26)</f>
        <v>0</v>
      </c>
    </row>
    <row r="27" customFormat="false" ht="15" hidden="false" customHeight="false" outlineLevel="0" collapsed="false">
      <c r="A27" s="9" t="n">
        <v>24</v>
      </c>
      <c r="B27" s="15" t="str">
        <f aca="false">IF(Сурагчид!B27="","",Сурагчид!B27)</f>
        <v/>
      </c>
      <c r="C27" s="12" t="str">
        <f aca="false">Сурагчид!K27</f>
        <v/>
      </c>
      <c r="D27" s="12" t="str">
        <f aca="false">Сурагчид!O27</f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6" t="str">
        <f aca="false">IF(COUNT(E27:AK27)=0,"",AVERAGE(E27:AK27))</f>
        <v/>
      </c>
      <c r="AM27" s="12" t="n">
        <f aca="false">COUNT(E27:AK27)</f>
        <v>0</v>
      </c>
    </row>
    <row r="28" customFormat="false" ht="15" hidden="false" customHeight="false" outlineLevel="0" collapsed="false">
      <c r="A28" s="9" t="n">
        <v>25</v>
      </c>
      <c r="B28" s="15" t="str">
        <f aca="false">IF(Сурагчид!B28="","",Сурагчид!B28)</f>
        <v/>
      </c>
      <c r="C28" s="12" t="str">
        <f aca="false">Сурагчид!K28</f>
        <v/>
      </c>
      <c r="D28" s="12" t="str">
        <f aca="false">Сурагчид!O28</f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6" t="str">
        <f aca="false">IF(COUNT(E28:AK28)=0,"",AVERAGE(E28:AK28))</f>
        <v/>
      </c>
      <c r="AM28" s="12" t="n">
        <f aca="false">COUNT(E28:AK28)</f>
        <v>0</v>
      </c>
    </row>
    <row r="29" customFormat="false" ht="15" hidden="false" customHeight="false" outlineLevel="0" collapsed="false">
      <c r="A29" s="9" t="n">
        <v>26</v>
      </c>
      <c r="B29" s="15" t="str">
        <f aca="false">IF(Сурагчид!B29="","",Сурагчид!B29)</f>
        <v/>
      </c>
      <c r="C29" s="12" t="str">
        <f aca="false">Сурагчид!K29</f>
        <v/>
      </c>
      <c r="D29" s="12" t="str">
        <f aca="false">Сурагчид!O29</f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6" t="str">
        <f aca="false">IF(COUNT(E29:AK29)=0,"",AVERAGE(E29:AK29))</f>
        <v/>
      </c>
      <c r="AM29" s="12" t="n">
        <f aca="false">COUNT(E29:AK29)</f>
        <v>0</v>
      </c>
    </row>
    <row r="30" customFormat="false" ht="15" hidden="false" customHeight="false" outlineLevel="0" collapsed="false">
      <c r="A30" s="9" t="n">
        <v>27</v>
      </c>
      <c r="B30" s="15" t="str">
        <f aca="false">IF(Сурагчид!B30="","",Сурагчид!B30)</f>
        <v/>
      </c>
      <c r="C30" s="12" t="str">
        <f aca="false">Сурагчид!K30</f>
        <v/>
      </c>
      <c r="D30" s="12" t="str">
        <f aca="false">Сурагчид!O30</f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6" t="str">
        <f aca="false">IF(COUNT(E30:AK30)=0,"",AVERAGE(E30:AK30))</f>
        <v/>
      </c>
      <c r="AM30" s="12" t="n">
        <f aca="false">COUNT(E30:AK30)</f>
        <v>0</v>
      </c>
    </row>
    <row r="31" customFormat="false" ht="15" hidden="false" customHeight="false" outlineLevel="0" collapsed="false">
      <c r="A31" s="9" t="n">
        <v>28</v>
      </c>
      <c r="B31" s="15" t="str">
        <f aca="false">IF(Сурагчид!B31="","",Сурагчид!B31)</f>
        <v/>
      </c>
      <c r="C31" s="12" t="str">
        <f aca="false">Сурагчид!K31</f>
        <v/>
      </c>
      <c r="D31" s="12" t="str">
        <f aca="false">Сурагчид!O31</f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6" t="str">
        <f aca="false">IF(COUNT(E31:AK31)=0,"",AVERAGE(E31:AK31))</f>
        <v/>
      </c>
      <c r="AM31" s="12" t="n">
        <f aca="false">COUNT(E31:AK31)</f>
        <v>0</v>
      </c>
    </row>
    <row r="32" customFormat="false" ht="15" hidden="false" customHeight="false" outlineLevel="0" collapsed="false">
      <c r="A32" s="9" t="n">
        <v>29</v>
      </c>
      <c r="B32" s="15" t="str">
        <f aca="false">IF(Сурагчид!B32="","",Сурагчид!B32)</f>
        <v/>
      </c>
      <c r="C32" s="12" t="str">
        <f aca="false">Сурагчид!K32</f>
        <v/>
      </c>
      <c r="D32" s="12" t="str">
        <f aca="false">Сурагчид!O32</f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6" t="str">
        <f aca="false">IF(COUNT(E32:AK32)=0,"",AVERAGE(E32:AK32))</f>
        <v/>
      </c>
      <c r="AM32" s="12" t="n">
        <f aca="false">COUNT(E32:AK32)</f>
        <v>0</v>
      </c>
    </row>
    <row r="33" customFormat="false" ht="15" hidden="false" customHeight="false" outlineLevel="0" collapsed="false">
      <c r="A33" s="9" t="n">
        <v>30</v>
      </c>
      <c r="B33" s="15" t="str">
        <f aca="false">IF(Сурагчид!B33="","",Сурагчид!B33)</f>
        <v/>
      </c>
      <c r="C33" s="12" t="str">
        <f aca="false">Сурагчид!K33</f>
        <v/>
      </c>
      <c r="D33" s="12" t="str">
        <f aca="false">Сурагчид!O33</f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6" t="str">
        <f aca="false">IF(COUNT(E33:AK33)=0,"",AVERAGE(E33:AK33))</f>
        <v/>
      </c>
      <c r="AM33" s="12" t="n">
        <f aca="false">COUNT(E33:AK33)</f>
        <v>0</v>
      </c>
    </row>
    <row r="34" customFormat="false" ht="15" hidden="false" customHeight="false" outlineLevel="0" collapsed="false">
      <c r="A34" s="9" t="n">
        <v>31</v>
      </c>
      <c r="B34" s="15" t="str">
        <f aca="false">IF(Сурагчид!B34="","",Сурагчид!B34)</f>
        <v/>
      </c>
      <c r="C34" s="12" t="str">
        <f aca="false">Сурагчид!K34</f>
        <v/>
      </c>
      <c r="D34" s="12" t="str">
        <f aca="false">Сурагчид!O34</f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6" t="str">
        <f aca="false">IF(COUNT(E34:AK34)=0,"",AVERAGE(E34:AK34))</f>
        <v/>
      </c>
      <c r="AM34" s="12" t="n">
        <f aca="false">COUNT(E34:AK34)</f>
        <v>0</v>
      </c>
    </row>
    <row r="35" customFormat="false" ht="15" hidden="false" customHeight="false" outlineLevel="0" collapsed="false">
      <c r="A35" s="9" t="n">
        <v>32</v>
      </c>
      <c r="B35" s="15" t="str">
        <f aca="false">IF(Сурагчид!B35="","",Сурагчид!B35)</f>
        <v/>
      </c>
      <c r="C35" s="12" t="str">
        <f aca="false">Сурагчид!K35</f>
        <v/>
      </c>
      <c r="D35" s="12" t="str">
        <f aca="false">Сурагчид!O35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6" t="str">
        <f aca="false">IF(COUNT(E35:AK35)=0,"",AVERAGE(E35:AK35))</f>
        <v/>
      </c>
      <c r="AM35" s="12" t="n">
        <f aca="false">COUNT(E35:AK35)</f>
        <v>0</v>
      </c>
    </row>
    <row r="36" customFormat="false" ht="15" hidden="false" customHeight="false" outlineLevel="0" collapsed="false">
      <c r="A36" s="9" t="n">
        <v>33</v>
      </c>
      <c r="B36" s="15" t="str">
        <f aca="false">IF(Сурагчид!B36="","",Сурагчид!B36)</f>
        <v/>
      </c>
      <c r="C36" s="12" t="str">
        <f aca="false">Сурагчид!K36</f>
        <v/>
      </c>
      <c r="D36" s="12" t="str">
        <f aca="false">Сурагчид!O36</f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6" t="str">
        <f aca="false">IF(COUNT(E36:AK36)=0,"",AVERAGE(E36:AK36))</f>
        <v/>
      </c>
      <c r="AM36" s="12" t="n">
        <f aca="false">COUNT(E36:AK36)</f>
        <v>0</v>
      </c>
    </row>
    <row r="37" customFormat="false" ht="15" hidden="false" customHeight="false" outlineLevel="0" collapsed="false">
      <c r="A37" s="9" t="n">
        <v>34</v>
      </c>
      <c r="B37" s="15" t="str">
        <f aca="false">IF(Сурагчид!B37="","",Сурагчид!B37)</f>
        <v/>
      </c>
      <c r="C37" s="12" t="str">
        <f aca="false">Сурагчид!K37</f>
        <v/>
      </c>
      <c r="D37" s="12" t="str">
        <f aca="false">Сурагчид!O37</f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6" t="str">
        <f aca="false">IF(COUNT(E37:AK37)=0,"",AVERAGE(E37:AK37))</f>
        <v/>
      </c>
      <c r="AM37" s="12" t="n">
        <f aca="false">COUNT(E37:AK37)</f>
        <v>0</v>
      </c>
    </row>
    <row r="38" customFormat="false" ht="15" hidden="false" customHeight="false" outlineLevel="0" collapsed="false">
      <c r="A38" s="9" t="n">
        <v>35</v>
      </c>
      <c r="B38" s="15" t="str">
        <f aca="false">IF(Сурагчид!B38="","",Сурагчид!B38)</f>
        <v/>
      </c>
      <c r="C38" s="12" t="str">
        <f aca="false">Сурагчид!K38</f>
        <v/>
      </c>
      <c r="D38" s="12" t="str">
        <f aca="false">Сурагчид!O38</f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6" t="str">
        <f aca="false">IF(COUNT(E38:AK38)=0,"",AVERAGE(E38:AK38))</f>
        <v/>
      </c>
      <c r="AM38" s="12" t="n">
        <f aca="false">COUNT(E38:AK38)</f>
        <v>0</v>
      </c>
    </row>
    <row r="39" customFormat="false" ht="15" hidden="false" customHeight="false" outlineLevel="0" collapsed="false">
      <c r="A39" s="9" t="n">
        <v>36</v>
      </c>
      <c r="B39" s="15" t="str">
        <f aca="false">IF(Сурагчид!B39="","",Сурагчид!B39)</f>
        <v/>
      </c>
      <c r="C39" s="12" t="str">
        <f aca="false">Сурагчид!K39</f>
        <v/>
      </c>
      <c r="D39" s="12" t="str">
        <f aca="false">Сурагчид!O39</f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6" t="str">
        <f aca="false">IF(COUNT(E39:AK39)=0,"",AVERAGE(E39:AK39))</f>
        <v/>
      </c>
      <c r="AM39" s="12" t="n">
        <f aca="false">COUNT(E39:AK39)</f>
        <v>0</v>
      </c>
    </row>
    <row r="40" customFormat="false" ht="15" hidden="false" customHeight="false" outlineLevel="0" collapsed="false">
      <c r="A40" s="9" t="n">
        <v>37</v>
      </c>
      <c r="B40" s="15" t="str">
        <f aca="false">IF(Сурагчид!B40="","",Сурагчид!B40)</f>
        <v/>
      </c>
      <c r="C40" s="12" t="str">
        <f aca="false">Сурагчид!K40</f>
        <v/>
      </c>
      <c r="D40" s="12" t="str">
        <f aca="false">Сурагчид!O40</f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6" t="str">
        <f aca="false">IF(COUNT(E40:AK40)=0,"",AVERAGE(E40:AK40))</f>
        <v/>
      </c>
      <c r="AM40" s="12" t="n">
        <f aca="false">COUNT(E40:AK40)</f>
        <v>0</v>
      </c>
    </row>
    <row r="41" customFormat="false" ht="15" hidden="false" customHeight="false" outlineLevel="0" collapsed="false">
      <c r="A41" s="9" t="n">
        <v>38</v>
      </c>
      <c r="B41" s="15" t="str">
        <f aca="false">IF(Сурагчид!B41="","",Сурагчид!B41)</f>
        <v/>
      </c>
      <c r="C41" s="12" t="str">
        <f aca="false">Сурагчид!K41</f>
        <v/>
      </c>
      <c r="D41" s="12" t="str">
        <f aca="false">Сурагчид!O41</f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6" t="str">
        <f aca="false">IF(COUNT(E41:AK41)=0,"",AVERAGE(E41:AK41))</f>
        <v/>
      </c>
      <c r="AM41" s="12" t="n">
        <f aca="false">COUNT(E41:AK41)</f>
        <v>0</v>
      </c>
    </row>
    <row r="42" customFormat="false" ht="15" hidden="false" customHeight="false" outlineLevel="0" collapsed="false">
      <c r="A42" s="9" t="n">
        <v>39</v>
      </c>
      <c r="B42" s="15" t="str">
        <f aca="false">IF(Сурагчид!B42="","",Сурагчид!B42)</f>
        <v/>
      </c>
      <c r="C42" s="12" t="str">
        <f aca="false">Сурагчид!K42</f>
        <v/>
      </c>
      <c r="D42" s="12" t="str">
        <f aca="false">Сурагчид!O42</f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6" t="str">
        <f aca="false">IF(COUNT(E42:AK42)=0,"",AVERAGE(E42:AK42))</f>
        <v/>
      </c>
      <c r="AM42" s="12" t="n">
        <f aca="false">COUNT(E42:AK42)</f>
        <v>0</v>
      </c>
    </row>
    <row r="43" customFormat="false" ht="15" hidden="false" customHeight="false" outlineLevel="0" collapsed="false">
      <c r="A43" s="9" t="n">
        <v>40</v>
      </c>
      <c r="B43" s="15" t="str">
        <f aca="false">IF(Сурагчид!B43="","",Сурагчид!B43)</f>
        <v/>
      </c>
      <c r="C43" s="12" t="str">
        <f aca="false">Сурагчид!K43</f>
        <v/>
      </c>
      <c r="D43" s="12" t="str">
        <f aca="false">Сурагчид!O43</f>
        <v/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6" t="str">
        <f aca="false">IF(COUNT(E43:AK43)=0,"",AVERAGE(E43:AK43))</f>
        <v/>
      </c>
      <c r="AM43" s="12" t="n">
        <f aca="false">COUNT(E43:AK43)</f>
        <v>0</v>
      </c>
    </row>
    <row r="44" customFormat="false" ht="15" hidden="false" customHeight="false" outlineLevel="0" collapsed="false">
      <c r="A44" s="9" t="n">
        <v>41</v>
      </c>
      <c r="B44" s="15" t="str">
        <f aca="false">IF(Сурагчид!B44="","",Сурагчид!B44)</f>
        <v/>
      </c>
      <c r="C44" s="12" t="str">
        <f aca="false">Сурагчид!K44</f>
        <v/>
      </c>
      <c r="D44" s="12" t="str">
        <f aca="false">Сурагчид!O44</f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6" t="str">
        <f aca="false">IF(COUNT(E44:AK44)=0,"",AVERAGE(E44:AK44))</f>
        <v/>
      </c>
      <c r="AM44" s="12" t="n">
        <f aca="false">COUNT(E44:AK44)</f>
        <v>0</v>
      </c>
    </row>
    <row r="45" customFormat="false" ht="15" hidden="false" customHeight="false" outlineLevel="0" collapsed="false">
      <c r="A45" s="9" t="n">
        <v>42</v>
      </c>
      <c r="B45" s="15" t="str">
        <f aca="false">IF(Сурагчид!B45="","",Сурагчид!B45)</f>
        <v/>
      </c>
      <c r="C45" s="12" t="str">
        <f aca="false">Сурагчид!K45</f>
        <v/>
      </c>
      <c r="D45" s="12" t="str">
        <f aca="false">Сурагчид!O45</f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6" t="str">
        <f aca="false">IF(COUNT(E45:AK45)=0,"",AVERAGE(E45:AK45))</f>
        <v/>
      </c>
      <c r="AM45" s="12" t="n">
        <f aca="false">COUNT(E45:AK45)</f>
        <v>0</v>
      </c>
    </row>
    <row r="46" customFormat="false" ht="15" hidden="false" customHeight="false" outlineLevel="0" collapsed="false">
      <c r="A46" s="9" t="n">
        <v>43</v>
      </c>
      <c r="B46" s="15" t="str">
        <f aca="false">IF(Сурагчид!B46="","",Сурагчид!B46)</f>
        <v/>
      </c>
      <c r="C46" s="12" t="str">
        <f aca="false">Сурагчид!K46</f>
        <v/>
      </c>
      <c r="D46" s="12" t="str">
        <f aca="false">Сурагчид!O46</f>
        <v/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6" t="str">
        <f aca="false">IF(COUNT(E46:AK46)=0,"",AVERAGE(E46:AK46))</f>
        <v/>
      </c>
      <c r="AM46" s="12" t="n">
        <f aca="false">COUNT(E46:AK46)</f>
        <v>0</v>
      </c>
    </row>
    <row r="47" customFormat="false" ht="15" hidden="false" customHeight="false" outlineLevel="0" collapsed="false">
      <c r="A47" s="9" t="n">
        <v>44</v>
      </c>
      <c r="B47" s="15" t="str">
        <f aca="false">IF(Сурагчид!B47="","",Сурагчид!B47)</f>
        <v/>
      </c>
      <c r="C47" s="12" t="str">
        <f aca="false">Сурагчид!K47</f>
        <v/>
      </c>
      <c r="D47" s="12" t="str">
        <f aca="false">Сурагчид!O47</f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6" t="str">
        <f aca="false">IF(COUNT(E47:AK47)=0,"",AVERAGE(E47:AK47))</f>
        <v/>
      </c>
      <c r="AM47" s="12" t="n">
        <f aca="false">COUNT(E47:AK47)</f>
        <v>0</v>
      </c>
    </row>
    <row r="48" customFormat="false" ht="15" hidden="false" customHeight="false" outlineLevel="0" collapsed="false">
      <c r="A48" s="9" t="n">
        <v>45</v>
      </c>
      <c r="B48" s="15" t="str">
        <f aca="false">IF(Сурагчид!B48="","",Сурагчид!B48)</f>
        <v/>
      </c>
      <c r="C48" s="12" t="str">
        <f aca="false">Сурагчид!K48</f>
        <v/>
      </c>
      <c r="D48" s="12" t="str">
        <f aca="false">Сурагчид!O48</f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6" t="str">
        <f aca="false">IF(COUNT(E48:AK48)=0,"",AVERAGE(E48:AK48))</f>
        <v/>
      </c>
      <c r="AM48" s="12" t="n">
        <f aca="false">COUNT(E48:AK48)</f>
        <v>0</v>
      </c>
    </row>
    <row r="49" customFormat="false" ht="15" hidden="false" customHeight="false" outlineLevel="0" collapsed="false">
      <c r="A49" s="9" t="n">
        <v>46</v>
      </c>
      <c r="B49" s="15" t="str">
        <f aca="false">IF(Сурагчид!B49="","",Сурагчид!B49)</f>
        <v/>
      </c>
      <c r="C49" s="12" t="str">
        <f aca="false">Сурагчид!K49</f>
        <v/>
      </c>
      <c r="D49" s="12" t="str">
        <f aca="false">Сурагчид!O49</f>
        <v/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6" t="str">
        <f aca="false">IF(COUNT(E49:AK49)=0,"",AVERAGE(E49:AK49))</f>
        <v/>
      </c>
      <c r="AM49" s="12" t="n">
        <f aca="false">COUNT(E49:AK49)</f>
        <v>0</v>
      </c>
    </row>
    <row r="50" customFormat="false" ht="15" hidden="false" customHeight="false" outlineLevel="0" collapsed="false">
      <c r="A50" s="9" t="n">
        <v>47</v>
      </c>
      <c r="B50" s="15" t="str">
        <f aca="false">IF(Сурагчид!B50="","",Сурагчид!B50)</f>
        <v/>
      </c>
      <c r="C50" s="12" t="str">
        <f aca="false">Сурагчид!K50</f>
        <v/>
      </c>
      <c r="D50" s="12" t="str">
        <f aca="false">Сурагчид!O50</f>
        <v/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6" t="str">
        <f aca="false">IF(COUNT(E50:AK50)=0,"",AVERAGE(E50:AK50))</f>
        <v/>
      </c>
      <c r="AM50" s="12" t="n">
        <f aca="false">COUNT(E50:AK50)</f>
        <v>0</v>
      </c>
    </row>
    <row r="51" customFormat="false" ht="15" hidden="false" customHeight="false" outlineLevel="0" collapsed="false">
      <c r="A51" s="9" t="n">
        <v>48</v>
      </c>
      <c r="B51" s="15" t="str">
        <f aca="false">IF(Сурагчид!B51="","",Сурагчид!B51)</f>
        <v/>
      </c>
      <c r="C51" s="12" t="str">
        <f aca="false">Сурагчид!K51</f>
        <v/>
      </c>
      <c r="D51" s="12" t="str">
        <f aca="false">Сурагчид!O51</f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6" t="str">
        <f aca="false">IF(COUNT(E51:AK51)=0,"",AVERAGE(E51:AK51))</f>
        <v/>
      </c>
      <c r="AM51" s="12" t="n">
        <f aca="false">COUNT(E51:AK51)</f>
        <v>0</v>
      </c>
    </row>
    <row r="52" customFormat="false" ht="15" hidden="false" customHeight="false" outlineLevel="0" collapsed="false">
      <c r="A52" s="9" t="n">
        <v>49</v>
      </c>
      <c r="B52" s="15" t="str">
        <f aca="false">IF(Сурагчид!B52="","",Сурагчид!B52)</f>
        <v/>
      </c>
      <c r="C52" s="12" t="str">
        <f aca="false">Сурагчид!K52</f>
        <v/>
      </c>
      <c r="D52" s="12" t="str">
        <f aca="false">Сурагчид!O52</f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6" t="str">
        <f aca="false">IF(COUNT(E52:AK52)=0,"",AVERAGE(E52:AK52))</f>
        <v/>
      </c>
      <c r="AM52" s="12" t="n">
        <f aca="false">COUNT(E52:AK52)</f>
        <v>0</v>
      </c>
    </row>
    <row r="53" customFormat="false" ht="15" hidden="false" customHeight="false" outlineLevel="0" collapsed="false">
      <c r="A53" s="9" t="n">
        <v>50</v>
      </c>
      <c r="B53" s="15" t="str">
        <f aca="false">IF(Сурагчид!B53="","",Сурагчид!B53)</f>
        <v/>
      </c>
      <c r="C53" s="12" t="str">
        <f aca="false">Сурагчид!K53</f>
        <v/>
      </c>
      <c r="D53" s="12" t="str">
        <f aca="false">Сурагчид!O53</f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6" t="str">
        <f aca="false">IF(COUNT(E53:AK53)=0,"",AVERAGE(E53:AK53))</f>
        <v/>
      </c>
      <c r="AM53" s="12" t="n">
        <f aca="false">COUNT(E53:AK53)</f>
        <v>0</v>
      </c>
    </row>
    <row r="54" customFormat="false" ht="15" hidden="false" customHeight="false" outlineLevel="0" collapsed="false">
      <c r="A54" s="9" t="n">
        <v>51</v>
      </c>
      <c r="B54" s="15" t="str">
        <f aca="false">IF(Сурагчид!B54="","",Сурагчид!B54)</f>
        <v/>
      </c>
      <c r="C54" s="12" t="str">
        <f aca="false">Сурагчид!K54</f>
        <v/>
      </c>
      <c r="D54" s="12" t="str">
        <f aca="false">Сурагчид!O54</f>
        <v/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6" t="str">
        <f aca="false">IF(COUNT(E54:AK54)=0,"",AVERAGE(E54:AK54))</f>
        <v/>
      </c>
      <c r="AM54" s="12" t="n">
        <f aca="false">COUNT(E54:AK54)</f>
        <v>0</v>
      </c>
    </row>
    <row r="55" customFormat="false" ht="15" hidden="false" customHeight="false" outlineLevel="0" collapsed="false">
      <c r="A55" s="9" t="n">
        <v>52</v>
      </c>
      <c r="B55" s="15" t="str">
        <f aca="false">IF(Сурагчид!B55="","",Сурагчид!B55)</f>
        <v/>
      </c>
      <c r="C55" s="12" t="str">
        <f aca="false">Сурагчид!K55</f>
        <v/>
      </c>
      <c r="D55" s="12" t="str">
        <f aca="false">Сурагчид!O55</f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6" t="str">
        <f aca="false">IF(COUNT(E55:AK55)=0,"",AVERAGE(E55:AK55))</f>
        <v/>
      </c>
      <c r="AM55" s="12" t="n">
        <f aca="false">COUNT(E55:AK55)</f>
        <v>0</v>
      </c>
    </row>
    <row r="56" customFormat="false" ht="15" hidden="false" customHeight="false" outlineLevel="0" collapsed="false">
      <c r="A56" s="9" t="n">
        <v>53</v>
      </c>
      <c r="B56" s="15" t="str">
        <f aca="false">IF(Сурагчид!B56="","",Сурагчид!B56)</f>
        <v/>
      </c>
      <c r="C56" s="12" t="str">
        <f aca="false">Сурагчид!K56</f>
        <v/>
      </c>
      <c r="D56" s="12" t="str">
        <f aca="false">Сурагчид!O56</f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6" t="str">
        <f aca="false">IF(COUNT(E56:AK56)=0,"",AVERAGE(E56:AK56))</f>
        <v/>
      </c>
      <c r="AM56" s="12" t="n">
        <f aca="false">COUNT(E56:AK56)</f>
        <v>0</v>
      </c>
    </row>
    <row r="57" customFormat="false" ht="15" hidden="false" customHeight="false" outlineLevel="0" collapsed="false">
      <c r="A57" s="9" t="n">
        <v>54</v>
      </c>
      <c r="B57" s="15" t="str">
        <f aca="false">IF(Сурагчид!B57="","",Сурагчид!B57)</f>
        <v/>
      </c>
      <c r="C57" s="12" t="str">
        <f aca="false">Сурагчид!K57</f>
        <v/>
      </c>
      <c r="D57" s="12" t="str">
        <f aca="false">Сурагчид!O57</f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6" t="str">
        <f aca="false">IF(COUNT(E57:AK57)=0,"",AVERAGE(E57:AK57))</f>
        <v/>
      </c>
      <c r="AM57" s="12" t="n">
        <f aca="false">COUNT(E57:AK57)</f>
        <v>0</v>
      </c>
    </row>
    <row r="58" customFormat="false" ht="15" hidden="false" customHeight="false" outlineLevel="0" collapsed="false">
      <c r="A58" s="9" t="n">
        <v>55</v>
      </c>
      <c r="B58" s="15" t="str">
        <f aca="false">IF(Сурагчид!B58="","",Сурагчид!B58)</f>
        <v/>
      </c>
      <c r="C58" s="12" t="str">
        <f aca="false">Сурагчид!K58</f>
        <v/>
      </c>
      <c r="D58" s="12" t="str">
        <f aca="false">Сурагчид!O58</f>
        <v/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6" t="str">
        <f aca="false">IF(COUNT(E58:AK58)=0,"",AVERAGE(E58:AK58))</f>
        <v/>
      </c>
      <c r="AM58" s="12" t="n">
        <f aca="false">COUNT(E58:AK58)</f>
        <v>0</v>
      </c>
    </row>
    <row r="59" customFormat="false" ht="15" hidden="false" customHeight="false" outlineLevel="0" collapsed="false">
      <c r="A59" s="9" t="n">
        <v>56</v>
      </c>
      <c r="B59" s="15" t="str">
        <f aca="false">IF(Сурагчид!B59="","",Сурагчид!B59)</f>
        <v/>
      </c>
      <c r="C59" s="12" t="str">
        <f aca="false">Сурагчид!K59</f>
        <v/>
      </c>
      <c r="D59" s="12" t="str">
        <f aca="false">Сурагчид!O59</f>
        <v/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6" t="str">
        <f aca="false">IF(COUNT(E59:AK59)=0,"",AVERAGE(E59:AK59))</f>
        <v/>
      </c>
      <c r="AM59" s="12" t="n">
        <f aca="false">COUNT(E59:AK59)</f>
        <v>0</v>
      </c>
    </row>
    <row r="60" customFormat="false" ht="15" hidden="false" customHeight="false" outlineLevel="0" collapsed="false">
      <c r="A60" s="9" t="n">
        <v>57</v>
      </c>
      <c r="B60" s="15" t="str">
        <f aca="false">IF(Сурагчид!B60="","",Сурагчид!B60)</f>
        <v/>
      </c>
      <c r="C60" s="12" t="str">
        <f aca="false">Сурагчид!K60</f>
        <v/>
      </c>
      <c r="D60" s="12" t="str">
        <f aca="false">Сурагчид!O60</f>
        <v/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6" t="str">
        <f aca="false">IF(COUNT(E60:AK60)=0,"",AVERAGE(E60:AK60))</f>
        <v/>
      </c>
      <c r="AM60" s="12" t="n">
        <f aca="false">COUNT(E60:AK60)</f>
        <v>0</v>
      </c>
    </row>
    <row r="61" customFormat="false" ht="15" hidden="false" customHeight="false" outlineLevel="0" collapsed="false">
      <c r="A61" s="9" t="n">
        <v>58</v>
      </c>
      <c r="B61" s="15" t="str">
        <f aca="false">IF(Сурагчид!B61="","",Сурагчид!B61)</f>
        <v/>
      </c>
      <c r="C61" s="12" t="str">
        <f aca="false">Сурагчид!K61</f>
        <v/>
      </c>
      <c r="D61" s="12" t="str">
        <f aca="false">Сурагчид!O61</f>
        <v/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6" t="str">
        <f aca="false">IF(COUNT(E61:AK61)=0,"",AVERAGE(E61:AK61))</f>
        <v/>
      </c>
      <c r="AM61" s="12" t="n">
        <f aca="false">COUNT(E61:AK61)</f>
        <v>0</v>
      </c>
    </row>
    <row r="62" customFormat="false" ht="15" hidden="false" customHeight="false" outlineLevel="0" collapsed="false">
      <c r="A62" s="9" t="n">
        <v>59</v>
      </c>
      <c r="B62" s="15" t="str">
        <f aca="false">IF(Сурагчид!B62="","",Сурагчид!B62)</f>
        <v/>
      </c>
      <c r="C62" s="12" t="str">
        <f aca="false">Сурагчид!K62</f>
        <v/>
      </c>
      <c r="D62" s="12" t="str">
        <f aca="false">Сурагчид!O62</f>
        <v/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6" t="str">
        <f aca="false">IF(COUNT(E62:AK62)=0,"",AVERAGE(E62:AK62))</f>
        <v/>
      </c>
      <c r="AM62" s="12" t="n">
        <f aca="false">COUNT(E62:AK62)</f>
        <v>0</v>
      </c>
    </row>
    <row r="63" customFormat="false" ht="15" hidden="false" customHeight="false" outlineLevel="0" collapsed="false">
      <c r="A63" s="9" t="n">
        <v>60</v>
      </c>
      <c r="B63" s="15" t="str">
        <f aca="false">IF(Сурагчид!B63="","",Сурагчид!B63)</f>
        <v/>
      </c>
      <c r="C63" s="12" t="str">
        <f aca="false">Сурагчид!K63</f>
        <v/>
      </c>
      <c r="D63" s="12" t="str">
        <f aca="false">Сурагчид!O63</f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6" t="str">
        <f aca="false">IF(COUNT(E63:AK63)=0,"",AVERAGE(E63:AK63))</f>
        <v/>
      </c>
      <c r="AM63" s="12" t="n">
        <f aca="false">COUNT(E63:AK63)</f>
        <v>0</v>
      </c>
    </row>
    <row r="64" customFormat="false" ht="15" hidden="false" customHeight="false" outlineLevel="0" collapsed="false">
      <c r="A64" s="9" t="n">
        <v>61</v>
      </c>
      <c r="B64" s="15" t="str">
        <f aca="false">IF(Сурагчид!B64="","",Сурагчид!B64)</f>
        <v/>
      </c>
      <c r="C64" s="12" t="str">
        <f aca="false">Сурагчид!K64</f>
        <v/>
      </c>
      <c r="D64" s="12" t="str">
        <f aca="false">Сурагчид!O64</f>
        <v/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6" t="str">
        <f aca="false">IF(COUNT(E64:AK64)=0,"",AVERAGE(E64:AK64))</f>
        <v/>
      </c>
      <c r="AM64" s="12" t="n">
        <f aca="false">COUNT(E64:AK64)</f>
        <v>0</v>
      </c>
    </row>
    <row r="65" customFormat="false" ht="15" hidden="false" customHeight="false" outlineLevel="0" collapsed="false">
      <c r="A65" s="9" t="n">
        <v>62</v>
      </c>
      <c r="B65" s="15" t="str">
        <f aca="false">IF(Сурагчид!B65="","",Сурагчид!B65)</f>
        <v/>
      </c>
      <c r="C65" s="12" t="str">
        <f aca="false">Сурагчид!K65</f>
        <v/>
      </c>
      <c r="D65" s="12" t="str">
        <f aca="false">Сурагчид!O65</f>
        <v/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6" t="str">
        <f aca="false">IF(COUNT(E65:AK65)=0,"",AVERAGE(E65:AK65))</f>
        <v/>
      </c>
      <c r="AM65" s="12" t="n">
        <f aca="false">COUNT(E65:AK65)</f>
        <v>0</v>
      </c>
    </row>
    <row r="66" customFormat="false" ht="15" hidden="false" customHeight="false" outlineLevel="0" collapsed="false">
      <c r="A66" s="9" t="n">
        <v>63</v>
      </c>
      <c r="B66" s="15" t="str">
        <f aca="false">IF(Сурагчид!B66="","",Сурагчид!B66)</f>
        <v/>
      </c>
      <c r="C66" s="12" t="str">
        <f aca="false">Сурагчид!K66</f>
        <v/>
      </c>
      <c r="D66" s="12" t="str">
        <f aca="false">Сурагчид!O66</f>
        <v/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6" t="str">
        <f aca="false">IF(COUNT(E66:AK66)=0,"",AVERAGE(E66:AK66))</f>
        <v/>
      </c>
      <c r="AM66" s="12" t="n">
        <f aca="false">COUNT(E66:AK66)</f>
        <v>0</v>
      </c>
    </row>
    <row r="67" customFormat="false" ht="15" hidden="false" customHeight="false" outlineLevel="0" collapsed="false">
      <c r="A67" s="9" t="n">
        <v>64</v>
      </c>
      <c r="B67" s="15" t="str">
        <f aca="false">IF(Сурагчид!B67="","",Сурагчид!B67)</f>
        <v/>
      </c>
      <c r="C67" s="12" t="str">
        <f aca="false">Сурагчид!K67</f>
        <v/>
      </c>
      <c r="D67" s="12" t="str">
        <f aca="false">Сурагчид!O67</f>
        <v/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6" t="str">
        <f aca="false">IF(COUNT(E67:AK67)=0,"",AVERAGE(E67:AK67))</f>
        <v/>
      </c>
      <c r="AM67" s="12" t="n">
        <f aca="false">COUNT(E67:AK67)</f>
        <v>0</v>
      </c>
    </row>
    <row r="68" customFormat="false" ht="15" hidden="false" customHeight="false" outlineLevel="0" collapsed="false">
      <c r="A68" s="9" t="n">
        <v>65</v>
      </c>
      <c r="B68" s="15" t="str">
        <f aca="false">IF(Сурагчид!B68="","",Сурагчид!B68)</f>
        <v/>
      </c>
      <c r="C68" s="12" t="str">
        <f aca="false">Сурагчид!K68</f>
        <v/>
      </c>
      <c r="D68" s="12" t="str">
        <f aca="false">Сурагчид!O68</f>
        <v/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6" t="str">
        <f aca="false">IF(COUNT(E68:AK68)=0,"",AVERAGE(E68:AK68))</f>
        <v/>
      </c>
      <c r="AM68" s="12" t="n">
        <f aca="false">COUNT(E68:AK68)</f>
        <v>0</v>
      </c>
    </row>
    <row r="69" customFormat="false" ht="15" hidden="false" customHeight="false" outlineLevel="0" collapsed="false">
      <c r="A69" s="9" t="n">
        <v>66</v>
      </c>
      <c r="B69" s="15" t="str">
        <f aca="false">IF(Сурагчид!B69="","",Сурагчид!B69)</f>
        <v/>
      </c>
      <c r="C69" s="12" t="str">
        <f aca="false">Сурагчид!K69</f>
        <v/>
      </c>
      <c r="D69" s="12" t="str">
        <f aca="false">Сурагчид!O69</f>
        <v/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6" t="str">
        <f aca="false">IF(COUNT(E69:AK69)=0,"",AVERAGE(E69:AK69))</f>
        <v/>
      </c>
      <c r="AM69" s="12" t="n">
        <f aca="false">COUNT(E69:AK69)</f>
        <v>0</v>
      </c>
    </row>
    <row r="70" customFormat="false" ht="15" hidden="false" customHeight="false" outlineLevel="0" collapsed="false">
      <c r="A70" s="9" t="n">
        <v>67</v>
      </c>
      <c r="B70" s="15" t="str">
        <f aca="false">IF(Сурагчид!B70="","",Сурагчид!B70)</f>
        <v/>
      </c>
      <c r="C70" s="12" t="str">
        <f aca="false">Сурагчид!K70</f>
        <v/>
      </c>
      <c r="D70" s="12" t="str">
        <f aca="false">Сурагчид!O70</f>
        <v/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6" t="str">
        <f aca="false">IF(COUNT(E70:AK70)=0,"",AVERAGE(E70:AK70))</f>
        <v/>
      </c>
      <c r="AM70" s="12" t="n">
        <f aca="false">COUNT(E70:AK70)</f>
        <v>0</v>
      </c>
    </row>
    <row r="71" customFormat="false" ht="15" hidden="false" customHeight="false" outlineLevel="0" collapsed="false">
      <c r="A71" s="9" t="n">
        <v>68</v>
      </c>
      <c r="B71" s="15" t="str">
        <f aca="false">IF(Сурагчид!B71="","",Сурагчид!B71)</f>
        <v/>
      </c>
      <c r="C71" s="12" t="str">
        <f aca="false">Сурагчид!K71</f>
        <v/>
      </c>
      <c r="D71" s="12" t="str">
        <f aca="false">Сурагчид!O71</f>
        <v/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6" t="str">
        <f aca="false">IF(COUNT(E71:AK71)=0,"",AVERAGE(E71:AK71))</f>
        <v/>
      </c>
      <c r="AM71" s="12" t="n">
        <f aca="false">COUNT(E71:AK71)</f>
        <v>0</v>
      </c>
    </row>
    <row r="72" customFormat="false" ht="15" hidden="false" customHeight="false" outlineLevel="0" collapsed="false">
      <c r="A72" s="9" t="n">
        <v>69</v>
      </c>
      <c r="B72" s="15" t="str">
        <f aca="false">IF(Сурагчид!B72="","",Сурагчид!B72)</f>
        <v/>
      </c>
      <c r="C72" s="12" t="str">
        <f aca="false">Сурагчид!K72</f>
        <v/>
      </c>
      <c r="D72" s="12" t="str">
        <f aca="false">Сурагчид!O72</f>
        <v/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6" t="str">
        <f aca="false">IF(COUNT(E72:AK72)=0,"",AVERAGE(E72:AK72))</f>
        <v/>
      </c>
      <c r="AM72" s="12" t="n">
        <f aca="false">COUNT(E72:AK72)</f>
        <v>0</v>
      </c>
    </row>
    <row r="73" customFormat="false" ht="15" hidden="false" customHeight="false" outlineLevel="0" collapsed="false">
      <c r="A73" s="9" t="n">
        <v>70</v>
      </c>
      <c r="B73" s="15" t="str">
        <f aca="false">IF(Сурагчид!B73="","",Сурагчид!B73)</f>
        <v/>
      </c>
      <c r="C73" s="12" t="str">
        <f aca="false">Сурагчид!K73</f>
        <v/>
      </c>
      <c r="D73" s="12" t="str">
        <f aca="false">Сурагчид!O73</f>
        <v/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6" t="str">
        <f aca="false">IF(COUNT(E73:AK73)=0,"",AVERAGE(E73:AK73))</f>
        <v/>
      </c>
      <c r="AM73" s="12" t="n">
        <f aca="false">COUNT(E73:AK73)</f>
        <v>0</v>
      </c>
    </row>
    <row r="75" customFormat="false" ht="15" hidden="false" customHeight="false" outlineLevel="0" collapsed="false">
      <c r="B75" s="3" t="s">
        <v>76</v>
      </c>
      <c r="E75" s="17" t="str">
        <f aca="false">IF(COUNT(E4:E73)=0,"",AVERAGE(E4:E73))</f>
        <v/>
      </c>
      <c r="F75" s="17" t="str">
        <f aca="false">IF(COUNT(F4:F73)=0,"",AVERAGE(F4:F73))</f>
        <v/>
      </c>
      <c r="G75" s="17" t="str">
        <f aca="false">IF(COUNT(G4:G73)=0,"",AVERAGE(G4:G73))</f>
        <v/>
      </c>
      <c r="H75" s="17" t="str">
        <f aca="false">IF(COUNT(H4:H73)=0,"",AVERAGE(H4:H73))</f>
        <v/>
      </c>
      <c r="I75" s="17" t="str">
        <f aca="false">IF(COUNT(I4:I73)=0,"",AVERAGE(I4:I73))</f>
        <v/>
      </c>
      <c r="J75" s="17" t="str">
        <f aca="false">IF(COUNT(J4:J73)=0,"",AVERAGE(J4:J73))</f>
        <v/>
      </c>
      <c r="K75" s="17" t="str">
        <f aca="false">IF(COUNT(K4:K73)=0,"",AVERAGE(K4:K73))</f>
        <v/>
      </c>
      <c r="L75" s="17" t="str">
        <f aca="false">IF(COUNT(L4:L73)=0,"",AVERAGE(L4:L73))</f>
        <v/>
      </c>
      <c r="M75" s="17" t="str">
        <f aca="false">IF(COUNT(M4:M73)=0,"",AVERAGE(M4:M73))</f>
        <v/>
      </c>
      <c r="N75" s="17" t="str">
        <f aca="false">IF(COUNT(N4:N73)=0,"",AVERAGE(N4:N73))</f>
        <v/>
      </c>
      <c r="O75" s="17" t="str">
        <f aca="false">IF(COUNT(O4:O73)=0,"",AVERAGE(O4:O73))</f>
        <v/>
      </c>
      <c r="P75" s="17" t="str">
        <f aca="false">IF(COUNT(P4:P73)=0,"",AVERAGE(P4:P73))</f>
        <v/>
      </c>
      <c r="Q75" s="17" t="str">
        <f aca="false">IF(COUNT(Q4:Q73)=0,"",AVERAGE(Q4:Q73))</f>
        <v/>
      </c>
      <c r="R75" s="17" t="str">
        <f aca="false">IF(COUNT(R4:R73)=0,"",AVERAGE(R4:R73))</f>
        <v/>
      </c>
      <c r="S75" s="17" t="str">
        <f aca="false">IF(COUNT(S4:S73)=0,"",AVERAGE(S4:S73))</f>
        <v/>
      </c>
      <c r="T75" s="17" t="str">
        <f aca="false">IF(COUNT(T4:T73)=0,"",AVERAGE(T4:T73))</f>
        <v/>
      </c>
      <c r="U75" s="17" t="str">
        <f aca="false">IF(COUNT(U4:U73)=0,"",AVERAGE(U4:U73))</f>
        <v/>
      </c>
      <c r="V75" s="17" t="str">
        <f aca="false">IF(COUNT(V4:V73)=0,"",AVERAGE(V4:V73))</f>
        <v/>
      </c>
      <c r="W75" s="17" t="str">
        <f aca="false">IF(COUNT(W4:W73)=0,"",AVERAGE(W4:W73))</f>
        <v/>
      </c>
      <c r="X75" s="17" t="str">
        <f aca="false">IF(COUNT(X4:X73)=0,"",AVERAGE(X4:X73))</f>
        <v/>
      </c>
      <c r="Y75" s="17" t="str">
        <f aca="false">IF(COUNT(Y4:Y73)=0,"",AVERAGE(Y4:Y73))</f>
        <v/>
      </c>
      <c r="Z75" s="17" t="str">
        <f aca="false">IF(COUNT(Z4:Z73)=0,"",AVERAGE(Z4:Z73))</f>
        <v/>
      </c>
      <c r="AA75" s="17" t="str">
        <f aca="false">IF(COUNT(AA4:AA73)=0,"",AVERAGE(AA4:AA73))</f>
        <v/>
      </c>
      <c r="AB75" s="17" t="str">
        <f aca="false">IF(COUNT(AB4:AB73)=0,"",AVERAGE(AB4:AB73))</f>
        <v/>
      </c>
      <c r="AC75" s="17" t="str">
        <f aca="false">IF(COUNT(AC4:AC73)=0,"",AVERAGE(AC4:AC73))</f>
        <v/>
      </c>
      <c r="AD75" s="17" t="str">
        <f aca="false">IF(COUNT(AD4:AD73)=0,"",AVERAGE(AD4:AD73))</f>
        <v/>
      </c>
      <c r="AE75" s="17" t="str">
        <f aca="false">IF(COUNT(AE4:AE73)=0,"",AVERAGE(AE4:AE73))</f>
        <v/>
      </c>
      <c r="AF75" s="17" t="str">
        <f aca="false">IF(COUNT(AF4:AF73)=0,"",AVERAGE(AF4:AF73))</f>
        <v/>
      </c>
      <c r="AG75" s="17" t="str">
        <f aca="false">IF(COUNT(AG4:AG73)=0,"",AVERAGE(AG4:AG73))</f>
        <v/>
      </c>
      <c r="AH75" s="17" t="str">
        <f aca="false">IF(COUNT(AH4:AH73)=0,"",AVERAGE(AH4:AH73))</f>
        <v/>
      </c>
      <c r="AI75" s="17" t="str">
        <f aca="false">IF(COUNT(AI4:AI73)=0,"",AVERAGE(AI4:AI73))</f>
        <v/>
      </c>
      <c r="AJ75" s="17" t="str">
        <f aca="false">IF(COUNT(AJ4:AJ73)=0,"",AVERAGE(AJ4:AJ73))</f>
        <v/>
      </c>
      <c r="AK75" s="17" t="str">
        <f aca="false">IF(COUNT(AK4:AK73)=0,"",AVERAGE(AK4:AK73))</f>
        <v/>
      </c>
      <c r="AL75" s="17" t="str">
        <f aca="false">IF(COUNT(AL4:AL73)=0,"",AVERAGE(AL4:AL73))</f>
        <v/>
      </c>
    </row>
    <row r="76" customFormat="false" ht="15" hidden="false" customHeight="false" outlineLevel="0" collapsed="false">
      <c r="B76" s="3" t="s">
        <v>77</v>
      </c>
      <c r="E76" s="17" t="str">
        <f aca="false">IF(COUNTIFS($C$4:$C$73,"А",E4:E73,"&lt;&gt;")=0,"",AVERAGEIFS(E4:E73,$C$4:$C$73,"А"))</f>
        <v/>
      </c>
      <c r="F76" s="17" t="str">
        <f aca="false">IF(COUNTIFS($C$4:$C$73,"А",F4:F73,"&lt;&gt;")=0,"",AVERAGEIFS(F4:F73,$C$4:$C$73,"А"))</f>
        <v/>
      </c>
      <c r="G76" s="17" t="str">
        <f aca="false">IF(COUNTIFS($C$4:$C$73,"А",G4:G73,"&lt;&gt;")=0,"",AVERAGEIFS(G4:G73,$C$4:$C$73,"А"))</f>
        <v/>
      </c>
      <c r="H76" s="17" t="str">
        <f aca="false">IF(COUNTIFS($C$4:$C$73,"А",H4:H73,"&lt;&gt;")=0,"",AVERAGEIFS(H4:H73,$C$4:$C$73,"А"))</f>
        <v/>
      </c>
      <c r="I76" s="17" t="str">
        <f aca="false">IF(COUNTIFS($C$4:$C$73,"А",I4:I73,"&lt;&gt;")=0,"",AVERAGEIFS(I4:I73,$C$4:$C$73,"А"))</f>
        <v/>
      </c>
      <c r="J76" s="17" t="str">
        <f aca="false">IF(COUNTIFS($C$4:$C$73,"А",J4:J73,"&lt;&gt;")=0,"",AVERAGEIFS(J4:J73,$C$4:$C$73,"А"))</f>
        <v/>
      </c>
      <c r="K76" s="17" t="str">
        <f aca="false">IF(COUNTIFS($C$4:$C$73,"А",K4:K73,"&lt;&gt;")=0,"",AVERAGEIFS(K4:K73,$C$4:$C$73,"А"))</f>
        <v/>
      </c>
      <c r="L76" s="17" t="str">
        <f aca="false">IF(COUNTIFS($C$4:$C$73,"А",L4:L73,"&lt;&gt;")=0,"",AVERAGEIFS(L4:L73,$C$4:$C$73,"А"))</f>
        <v/>
      </c>
      <c r="M76" s="17" t="str">
        <f aca="false">IF(COUNTIFS($C$4:$C$73,"А",M4:M73,"&lt;&gt;")=0,"",AVERAGEIFS(M4:M73,$C$4:$C$73,"А"))</f>
        <v/>
      </c>
      <c r="N76" s="17" t="str">
        <f aca="false">IF(COUNTIFS($C$4:$C$73,"А",N4:N73,"&lt;&gt;")=0,"",AVERAGEIFS(N4:N73,$C$4:$C$73,"А"))</f>
        <v/>
      </c>
      <c r="O76" s="17" t="str">
        <f aca="false">IF(COUNTIFS($C$4:$C$73,"А",O4:O73,"&lt;&gt;")=0,"",AVERAGEIFS(O4:O73,$C$4:$C$73,"А"))</f>
        <v/>
      </c>
      <c r="P76" s="17" t="str">
        <f aca="false">IF(COUNTIFS($C$4:$C$73,"А",P4:P73,"&lt;&gt;")=0,"",AVERAGEIFS(P4:P73,$C$4:$C$73,"А"))</f>
        <v/>
      </c>
      <c r="Q76" s="17" t="str">
        <f aca="false">IF(COUNTIFS($C$4:$C$73,"А",Q4:Q73,"&lt;&gt;")=0,"",AVERAGEIFS(Q4:Q73,$C$4:$C$73,"А"))</f>
        <v/>
      </c>
      <c r="R76" s="17" t="str">
        <f aca="false">IF(COUNTIFS($C$4:$C$73,"А",R4:R73,"&lt;&gt;")=0,"",AVERAGEIFS(R4:R73,$C$4:$C$73,"А"))</f>
        <v/>
      </c>
      <c r="S76" s="17" t="str">
        <f aca="false">IF(COUNTIFS($C$4:$C$73,"А",S4:S73,"&lt;&gt;")=0,"",AVERAGEIFS(S4:S73,$C$4:$C$73,"А"))</f>
        <v/>
      </c>
      <c r="T76" s="17" t="str">
        <f aca="false">IF(COUNTIFS($C$4:$C$73,"А",T4:T73,"&lt;&gt;")=0,"",AVERAGEIFS(T4:T73,$C$4:$C$73,"А"))</f>
        <v/>
      </c>
      <c r="U76" s="17" t="str">
        <f aca="false">IF(COUNTIFS($C$4:$C$73,"А",U4:U73,"&lt;&gt;")=0,"",AVERAGEIFS(U4:U73,$C$4:$C$73,"А"))</f>
        <v/>
      </c>
      <c r="V76" s="17" t="str">
        <f aca="false">IF(COUNTIFS($C$4:$C$73,"А",V4:V73,"&lt;&gt;")=0,"",AVERAGEIFS(V4:V73,$C$4:$C$73,"А"))</f>
        <v/>
      </c>
      <c r="W76" s="17" t="str">
        <f aca="false">IF(COUNTIFS($C$4:$C$73,"А",W4:W73,"&lt;&gt;")=0,"",AVERAGEIFS(W4:W73,$C$4:$C$73,"А"))</f>
        <v/>
      </c>
      <c r="X76" s="17" t="str">
        <f aca="false">IF(COUNTIFS($C$4:$C$73,"А",X4:X73,"&lt;&gt;")=0,"",AVERAGEIFS(X4:X73,$C$4:$C$73,"А"))</f>
        <v/>
      </c>
      <c r="Y76" s="17" t="str">
        <f aca="false">IF(COUNTIFS($C$4:$C$73,"А",Y4:Y73,"&lt;&gt;")=0,"",AVERAGEIFS(Y4:Y73,$C$4:$C$73,"А"))</f>
        <v/>
      </c>
      <c r="Z76" s="17" t="str">
        <f aca="false">IF(COUNTIFS($C$4:$C$73,"А",Z4:Z73,"&lt;&gt;")=0,"",AVERAGEIFS(Z4:Z73,$C$4:$C$73,"А"))</f>
        <v/>
      </c>
      <c r="AA76" s="17" t="str">
        <f aca="false">IF(COUNTIFS($C$4:$C$73,"А",AA4:AA73,"&lt;&gt;")=0,"",AVERAGEIFS(AA4:AA73,$C$4:$C$73,"А"))</f>
        <v/>
      </c>
      <c r="AB76" s="17" t="str">
        <f aca="false">IF(COUNTIFS($C$4:$C$73,"А",AB4:AB73,"&lt;&gt;")=0,"",AVERAGEIFS(AB4:AB73,$C$4:$C$73,"А"))</f>
        <v/>
      </c>
      <c r="AC76" s="17" t="str">
        <f aca="false">IF(COUNTIFS($C$4:$C$73,"А",AC4:AC73,"&lt;&gt;")=0,"",AVERAGEIFS(AC4:AC73,$C$4:$C$73,"А"))</f>
        <v/>
      </c>
      <c r="AD76" s="17" t="str">
        <f aca="false">IF(COUNTIFS($C$4:$C$73,"А",AD4:AD73,"&lt;&gt;")=0,"",AVERAGEIFS(AD4:AD73,$C$4:$C$73,"А"))</f>
        <v/>
      </c>
      <c r="AE76" s="17" t="str">
        <f aca="false">IF(COUNTIFS($C$4:$C$73,"А",AE4:AE73,"&lt;&gt;")=0,"",AVERAGEIFS(AE4:AE73,$C$4:$C$73,"А"))</f>
        <v/>
      </c>
      <c r="AF76" s="17" t="str">
        <f aca="false">IF(COUNTIFS($C$4:$C$73,"А",AF4:AF73,"&lt;&gt;")=0,"",AVERAGEIFS(AF4:AF73,$C$4:$C$73,"А"))</f>
        <v/>
      </c>
      <c r="AG76" s="17" t="str">
        <f aca="false">IF(COUNTIFS($C$4:$C$73,"А",AG4:AG73,"&lt;&gt;")=0,"",AVERAGEIFS(AG4:AG73,$C$4:$C$73,"А"))</f>
        <v/>
      </c>
      <c r="AH76" s="17" t="str">
        <f aca="false">IF(COUNTIFS($C$4:$C$73,"А",AH4:AH73,"&lt;&gt;")=0,"",AVERAGEIFS(AH4:AH73,$C$4:$C$73,"А"))</f>
        <v/>
      </c>
      <c r="AI76" s="17" t="str">
        <f aca="false">IF(COUNTIFS($C$4:$C$73,"А",AI4:AI73,"&lt;&gt;")=0,"",AVERAGEIFS(AI4:AI73,$C$4:$C$73,"А"))</f>
        <v/>
      </c>
      <c r="AJ76" s="17" t="str">
        <f aca="false">IF(COUNTIFS($C$4:$C$73,"А",AJ4:AJ73,"&lt;&gt;")=0,"",AVERAGEIFS(AJ4:AJ73,$C$4:$C$73,"А"))</f>
        <v/>
      </c>
      <c r="AK76" s="17" t="str">
        <f aca="false">IF(COUNTIFS($C$4:$C$73,"А",AK4:AK73,"&lt;&gt;")=0,"",AVERAGEIFS(AK4:AK73,$C$4:$C$73,"А"))</f>
        <v/>
      </c>
      <c r="AL76" s="17" t="str">
        <f aca="false">IF(COUNTIFS($C$4:$C$73,"А",AL4:AL73,"&lt;&gt;")=0,"",AVERAGEIFS(AL4:AL73,$C$4:$C$73,"А"))</f>
        <v/>
      </c>
    </row>
    <row r="77" customFormat="false" ht="15" hidden="false" customHeight="false" outlineLevel="0" collapsed="false">
      <c r="B77" s="3" t="s">
        <v>78</v>
      </c>
      <c r="E77" s="17" t="str">
        <f aca="false">IF(COUNTIFS($C$4:$C$73,"В",E4:E73,"&lt;&gt;")=0,"",AVERAGEIFS(E4:E73,$C$4:$C$73,"В"))</f>
        <v/>
      </c>
      <c r="F77" s="17" t="str">
        <f aca="false">IF(COUNTIFS($C$4:$C$73,"В",F4:F73,"&lt;&gt;")=0,"",AVERAGEIFS(F4:F73,$C$4:$C$73,"В"))</f>
        <v/>
      </c>
      <c r="G77" s="17" t="str">
        <f aca="false">IF(COUNTIFS($C$4:$C$73,"В",G4:G73,"&lt;&gt;")=0,"",AVERAGEIFS(G4:G73,$C$4:$C$73,"В"))</f>
        <v/>
      </c>
      <c r="H77" s="17" t="str">
        <f aca="false">IF(COUNTIFS($C$4:$C$73,"В",H4:H73,"&lt;&gt;")=0,"",AVERAGEIFS(H4:H73,$C$4:$C$73,"В"))</f>
        <v/>
      </c>
      <c r="I77" s="17" t="str">
        <f aca="false">IF(COUNTIFS($C$4:$C$73,"В",I4:I73,"&lt;&gt;")=0,"",AVERAGEIFS(I4:I73,$C$4:$C$73,"В"))</f>
        <v/>
      </c>
      <c r="J77" s="17" t="str">
        <f aca="false">IF(COUNTIFS($C$4:$C$73,"В",J4:J73,"&lt;&gt;")=0,"",AVERAGEIFS(J4:J73,$C$4:$C$73,"В"))</f>
        <v/>
      </c>
      <c r="K77" s="17" t="str">
        <f aca="false">IF(COUNTIFS($C$4:$C$73,"В",K4:K73,"&lt;&gt;")=0,"",AVERAGEIFS(K4:K73,$C$4:$C$73,"В"))</f>
        <v/>
      </c>
      <c r="L77" s="17" t="str">
        <f aca="false">IF(COUNTIFS($C$4:$C$73,"В",L4:L73,"&lt;&gt;")=0,"",AVERAGEIFS(L4:L73,$C$4:$C$73,"В"))</f>
        <v/>
      </c>
      <c r="M77" s="17" t="str">
        <f aca="false">IF(COUNTIFS($C$4:$C$73,"В",M4:M73,"&lt;&gt;")=0,"",AVERAGEIFS(M4:M73,$C$4:$C$73,"В"))</f>
        <v/>
      </c>
      <c r="N77" s="17" t="str">
        <f aca="false">IF(COUNTIFS($C$4:$C$73,"В",N4:N73,"&lt;&gt;")=0,"",AVERAGEIFS(N4:N73,$C$4:$C$73,"В"))</f>
        <v/>
      </c>
      <c r="O77" s="17" t="str">
        <f aca="false">IF(COUNTIFS($C$4:$C$73,"В",O4:O73,"&lt;&gt;")=0,"",AVERAGEIFS(O4:O73,$C$4:$C$73,"В"))</f>
        <v/>
      </c>
      <c r="P77" s="17" t="str">
        <f aca="false">IF(COUNTIFS($C$4:$C$73,"В",P4:P73,"&lt;&gt;")=0,"",AVERAGEIFS(P4:P73,$C$4:$C$73,"В"))</f>
        <v/>
      </c>
      <c r="Q77" s="17" t="str">
        <f aca="false">IF(COUNTIFS($C$4:$C$73,"В",Q4:Q73,"&lt;&gt;")=0,"",AVERAGEIFS(Q4:Q73,$C$4:$C$73,"В"))</f>
        <v/>
      </c>
      <c r="R77" s="17" t="str">
        <f aca="false">IF(COUNTIFS($C$4:$C$73,"В",R4:R73,"&lt;&gt;")=0,"",AVERAGEIFS(R4:R73,$C$4:$C$73,"В"))</f>
        <v/>
      </c>
      <c r="S77" s="17" t="str">
        <f aca="false">IF(COUNTIFS($C$4:$C$73,"В",S4:S73,"&lt;&gt;")=0,"",AVERAGEIFS(S4:S73,$C$4:$C$73,"В"))</f>
        <v/>
      </c>
      <c r="T77" s="17" t="str">
        <f aca="false">IF(COUNTIFS($C$4:$C$73,"В",T4:T73,"&lt;&gt;")=0,"",AVERAGEIFS(T4:T73,$C$4:$C$73,"В"))</f>
        <v/>
      </c>
      <c r="U77" s="17" t="str">
        <f aca="false">IF(COUNTIFS($C$4:$C$73,"В",U4:U73,"&lt;&gt;")=0,"",AVERAGEIFS(U4:U73,$C$4:$C$73,"В"))</f>
        <v/>
      </c>
      <c r="V77" s="17" t="str">
        <f aca="false">IF(COUNTIFS($C$4:$C$73,"В",V4:V73,"&lt;&gt;")=0,"",AVERAGEIFS(V4:V73,$C$4:$C$73,"В"))</f>
        <v/>
      </c>
      <c r="W77" s="17" t="str">
        <f aca="false">IF(COUNTIFS($C$4:$C$73,"В",W4:W73,"&lt;&gt;")=0,"",AVERAGEIFS(W4:W73,$C$4:$C$73,"В"))</f>
        <v/>
      </c>
      <c r="X77" s="17" t="str">
        <f aca="false">IF(COUNTIFS($C$4:$C$73,"В",X4:X73,"&lt;&gt;")=0,"",AVERAGEIFS(X4:X73,$C$4:$C$73,"В"))</f>
        <v/>
      </c>
      <c r="Y77" s="17" t="str">
        <f aca="false">IF(COUNTIFS($C$4:$C$73,"В",Y4:Y73,"&lt;&gt;")=0,"",AVERAGEIFS(Y4:Y73,$C$4:$C$73,"В"))</f>
        <v/>
      </c>
      <c r="Z77" s="17" t="str">
        <f aca="false">IF(COUNTIFS($C$4:$C$73,"В",Z4:Z73,"&lt;&gt;")=0,"",AVERAGEIFS(Z4:Z73,$C$4:$C$73,"В"))</f>
        <v/>
      </c>
      <c r="AA77" s="17" t="str">
        <f aca="false">IF(COUNTIFS($C$4:$C$73,"В",AA4:AA73,"&lt;&gt;")=0,"",AVERAGEIFS(AA4:AA73,$C$4:$C$73,"В"))</f>
        <v/>
      </c>
      <c r="AB77" s="17" t="str">
        <f aca="false">IF(COUNTIFS($C$4:$C$73,"В",AB4:AB73,"&lt;&gt;")=0,"",AVERAGEIFS(AB4:AB73,$C$4:$C$73,"В"))</f>
        <v/>
      </c>
      <c r="AC77" s="17" t="str">
        <f aca="false">IF(COUNTIFS($C$4:$C$73,"В",AC4:AC73,"&lt;&gt;")=0,"",AVERAGEIFS(AC4:AC73,$C$4:$C$73,"В"))</f>
        <v/>
      </c>
      <c r="AD77" s="17" t="str">
        <f aca="false">IF(COUNTIFS($C$4:$C$73,"В",AD4:AD73,"&lt;&gt;")=0,"",AVERAGEIFS(AD4:AD73,$C$4:$C$73,"В"))</f>
        <v/>
      </c>
      <c r="AE77" s="17" t="str">
        <f aca="false">IF(COUNTIFS($C$4:$C$73,"В",AE4:AE73,"&lt;&gt;")=0,"",AVERAGEIFS(AE4:AE73,$C$4:$C$73,"В"))</f>
        <v/>
      </c>
      <c r="AF77" s="17" t="str">
        <f aca="false">IF(COUNTIFS($C$4:$C$73,"В",AF4:AF73,"&lt;&gt;")=0,"",AVERAGEIFS(AF4:AF73,$C$4:$C$73,"В"))</f>
        <v/>
      </c>
      <c r="AG77" s="17" t="str">
        <f aca="false">IF(COUNTIFS($C$4:$C$73,"В",AG4:AG73,"&lt;&gt;")=0,"",AVERAGEIFS(AG4:AG73,$C$4:$C$73,"В"))</f>
        <v/>
      </c>
      <c r="AH77" s="17" t="str">
        <f aca="false">IF(COUNTIFS($C$4:$C$73,"В",AH4:AH73,"&lt;&gt;")=0,"",AVERAGEIFS(AH4:AH73,$C$4:$C$73,"В"))</f>
        <v/>
      </c>
      <c r="AI77" s="17" t="str">
        <f aca="false">IF(COUNTIFS($C$4:$C$73,"В",AI4:AI73,"&lt;&gt;")=0,"",AVERAGEIFS(AI4:AI73,$C$4:$C$73,"В"))</f>
        <v/>
      </c>
      <c r="AJ77" s="17" t="str">
        <f aca="false">IF(COUNTIFS($C$4:$C$73,"В",AJ4:AJ73,"&lt;&gt;")=0,"",AVERAGEIFS(AJ4:AJ73,$C$4:$C$73,"В"))</f>
        <v/>
      </c>
      <c r="AK77" s="17" t="str">
        <f aca="false">IF(COUNTIFS($C$4:$C$73,"В",AK4:AK73,"&lt;&gt;")=0,"",AVERAGEIFS(AK4:AK73,$C$4:$C$73,"В"))</f>
        <v/>
      </c>
      <c r="AL77" s="17" t="str">
        <f aca="false">IF(COUNTIFS($C$4:$C$73,"В",AL4:AL73,"&lt;&gt;")=0,"",AVERAGEIFS(AL4:AL73,$C$4:$C$73,"В"))</f>
        <v/>
      </c>
    </row>
    <row r="78" customFormat="false" ht="15" hidden="false" customHeight="false" outlineLevel="0" collapsed="false">
      <c r="B78" s="3" t="s">
        <v>79</v>
      </c>
      <c r="E78" s="17" t="str">
        <f aca="false">IF(COUNTIFS($C$4:$C$73,"С",E4:E73,"&lt;&gt;")=0,"",AVERAGEIFS(E4:E73,$C$4:$C$73,"С"))</f>
        <v/>
      </c>
      <c r="F78" s="17" t="str">
        <f aca="false">IF(COUNTIFS($C$4:$C$73,"С",F4:F73,"&lt;&gt;")=0,"",AVERAGEIFS(F4:F73,$C$4:$C$73,"С"))</f>
        <v/>
      </c>
      <c r="G78" s="17" t="str">
        <f aca="false">IF(COUNTIFS($C$4:$C$73,"С",G4:G73,"&lt;&gt;")=0,"",AVERAGEIFS(G4:G73,$C$4:$C$73,"С"))</f>
        <v/>
      </c>
      <c r="H78" s="17" t="str">
        <f aca="false">IF(COUNTIFS($C$4:$C$73,"С",H4:H73,"&lt;&gt;")=0,"",AVERAGEIFS(H4:H73,$C$4:$C$73,"С"))</f>
        <v/>
      </c>
      <c r="I78" s="17" t="str">
        <f aca="false">IF(COUNTIFS($C$4:$C$73,"С",I4:I73,"&lt;&gt;")=0,"",AVERAGEIFS(I4:I73,$C$4:$C$73,"С"))</f>
        <v/>
      </c>
      <c r="J78" s="17" t="str">
        <f aca="false">IF(COUNTIFS($C$4:$C$73,"С",J4:J73,"&lt;&gt;")=0,"",AVERAGEIFS(J4:J73,$C$4:$C$73,"С"))</f>
        <v/>
      </c>
      <c r="K78" s="17" t="str">
        <f aca="false">IF(COUNTIFS($C$4:$C$73,"С",K4:K73,"&lt;&gt;")=0,"",AVERAGEIFS(K4:K73,$C$4:$C$73,"С"))</f>
        <v/>
      </c>
      <c r="L78" s="17" t="str">
        <f aca="false">IF(COUNTIFS($C$4:$C$73,"С",L4:L73,"&lt;&gt;")=0,"",AVERAGEIFS(L4:L73,$C$4:$C$73,"С"))</f>
        <v/>
      </c>
      <c r="M78" s="17" t="str">
        <f aca="false">IF(COUNTIFS($C$4:$C$73,"С",M4:M73,"&lt;&gt;")=0,"",AVERAGEIFS(M4:M73,$C$4:$C$73,"С"))</f>
        <v/>
      </c>
      <c r="N78" s="17" t="str">
        <f aca="false">IF(COUNTIFS($C$4:$C$73,"С",N4:N73,"&lt;&gt;")=0,"",AVERAGEIFS(N4:N73,$C$4:$C$73,"С"))</f>
        <v/>
      </c>
      <c r="O78" s="17" t="str">
        <f aca="false">IF(COUNTIFS($C$4:$C$73,"С",O4:O73,"&lt;&gt;")=0,"",AVERAGEIFS(O4:O73,$C$4:$C$73,"С"))</f>
        <v/>
      </c>
      <c r="P78" s="17" t="str">
        <f aca="false">IF(COUNTIFS($C$4:$C$73,"С",P4:P73,"&lt;&gt;")=0,"",AVERAGEIFS(P4:P73,$C$4:$C$73,"С"))</f>
        <v/>
      </c>
      <c r="Q78" s="17" t="str">
        <f aca="false">IF(COUNTIFS($C$4:$C$73,"С",Q4:Q73,"&lt;&gt;")=0,"",AVERAGEIFS(Q4:Q73,$C$4:$C$73,"С"))</f>
        <v/>
      </c>
      <c r="R78" s="17" t="str">
        <f aca="false">IF(COUNTIFS($C$4:$C$73,"С",R4:R73,"&lt;&gt;")=0,"",AVERAGEIFS(R4:R73,$C$4:$C$73,"С"))</f>
        <v/>
      </c>
      <c r="S78" s="17" t="str">
        <f aca="false">IF(COUNTIFS($C$4:$C$73,"С",S4:S73,"&lt;&gt;")=0,"",AVERAGEIFS(S4:S73,$C$4:$C$73,"С"))</f>
        <v/>
      </c>
      <c r="T78" s="17" t="str">
        <f aca="false">IF(COUNTIFS($C$4:$C$73,"С",T4:T73,"&lt;&gt;")=0,"",AVERAGEIFS(T4:T73,$C$4:$C$73,"С"))</f>
        <v/>
      </c>
      <c r="U78" s="17" t="str">
        <f aca="false">IF(COUNTIFS($C$4:$C$73,"С",U4:U73,"&lt;&gt;")=0,"",AVERAGEIFS(U4:U73,$C$4:$C$73,"С"))</f>
        <v/>
      </c>
      <c r="V78" s="17" t="str">
        <f aca="false">IF(COUNTIFS($C$4:$C$73,"С",V4:V73,"&lt;&gt;")=0,"",AVERAGEIFS(V4:V73,$C$4:$C$73,"С"))</f>
        <v/>
      </c>
      <c r="W78" s="17" t="str">
        <f aca="false">IF(COUNTIFS($C$4:$C$73,"С",W4:W73,"&lt;&gt;")=0,"",AVERAGEIFS(W4:W73,$C$4:$C$73,"С"))</f>
        <v/>
      </c>
      <c r="X78" s="17" t="str">
        <f aca="false">IF(COUNTIFS($C$4:$C$73,"С",X4:X73,"&lt;&gt;")=0,"",AVERAGEIFS(X4:X73,$C$4:$C$73,"С"))</f>
        <v/>
      </c>
      <c r="Y78" s="17" t="str">
        <f aca="false">IF(COUNTIFS($C$4:$C$73,"С",Y4:Y73,"&lt;&gt;")=0,"",AVERAGEIFS(Y4:Y73,$C$4:$C$73,"С"))</f>
        <v/>
      </c>
      <c r="Z78" s="17" t="str">
        <f aca="false">IF(COUNTIFS($C$4:$C$73,"С",Z4:Z73,"&lt;&gt;")=0,"",AVERAGEIFS(Z4:Z73,$C$4:$C$73,"С"))</f>
        <v/>
      </c>
      <c r="AA78" s="17" t="str">
        <f aca="false">IF(COUNTIFS($C$4:$C$73,"С",AA4:AA73,"&lt;&gt;")=0,"",AVERAGEIFS(AA4:AA73,$C$4:$C$73,"С"))</f>
        <v/>
      </c>
      <c r="AB78" s="17" t="str">
        <f aca="false">IF(COUNTIFS($C$4:$C$73,"С",AB4:AB73,"&lt;&gt;")=0,"",AVERAGEIFS(AB4:AB73,$C$4:$C$73,"С"))</f>
        <v/>
      </c>
      <c r="AC78" s="17" t="str">
        <f aca="false">IF(COUNTIFS($C$4:$C$73,"С",AC4:AC73,"&lt;&gt;")=0,"",AVERAGEIFS(AC4:AC73,$C$4:$C$73,"С"))</f>
        <v/>
      </c>
      <c r="AD78" s="17" t="str">
        <f aca="false">IF(COUNTIFS($C$4:$C$73,"С",AD4:AD73,"&lt;&gt;")=0,"",AVERAGEIFS(AD4:AD73,$C$4:$C$73,"С"))</f>
        <v/>
      </c>
      <c r="AE78" s="17" t="str">
        <f aca="false">IF(COUNTIFS($C$4:$C$73,"С",AE4:AE73,"&lt;&gt;")=0,"",AVERAGEIFS(AE4:AE73,$C$4:$C$73,"С"))</f>
        <v/>
      </c>
      <c r="AF78" s="17" t="str">
        <f aca="false">IF(COUNTIFS($C$4:$C$73,"С",AF4:AF73,"&lt;&gt;")=0,"",AVERAGEIFS(AF4:AF73,$C$4:$C$73,"С"))</f>
        <v/>
      </c>
      <c r="AG78" s="17" t="str">
        <f aca="false">IF(COUNTIFS($C$4:$C$73,"С",AG4:AG73,"&lt;&gt;")=0,"",AVERAGEIFS(AG4:AG73,$C$4:$C$73,"С"))</f>
        <v/>
      </c>
      <c r="AH78" s="17" t="str">
        <f aca="false">IF(COUNTIFS($C$4:$C$73,"С",AH4:AH73,"&lt;&gt;")=0,"",AVERAGEIFS(AH4:AH73,$C$4:$C$73,"С"))</f>
        <v/>
      </c>
      <c r="AI78" s="17" t="str">
        <f aca="false">IF(COUNTIFS($C$4:$C$73,"С",AI4:AI73,"&lt;&gt;")=0,"",AVERAGEIFS(AI4:AI73,$C$4:$C$73,"С"))</f>
        <v/>
      </c>
      <c r="AJ78" s="17" t="str">
        <f aca="false">IF(COUNTIFS($C$4:$C$73,"С",AJ4:AJ73,"&lt;&gt;")=0,"",AVERAGEIFS(AJ4:AJ73,$C$4:$C$73,"С"))</f>
        <v/>
      </c>
      <c r="AK78" s="17" t="str">
        <f aca="false">IF(COUNTIFS($C$4:$C$73,"С",AK4:AK73,"&lt;&gt;")=0,"",AVERAGEIFS(AK4:AK73,$C$4:$C$73,"С"))</f>
        <v/>
      </c>
      <c r="AL78" s="17" t="str">
        <f aca="false">IF(COUNTIFS($C$4:$C$73,"С",AL4:AL73,"&lt;&gt;")=0,"",AVERAGEIFS(AL4:AL73,$C$4:$C$73,"С"))</f>
        <v/>
      </c>
    </row>
  </sheetData>
  <dataValidations count="1">
    <dataValidation allowBlank="false" error="0–5 хооронд бүхэл тоо оруулна уу" errorStyle="stop" operator="between" showDropDown="false" showErrorMessage="true" showInputMessage="false" sqref="E4:AK73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6"/>
    <col collapsed="false" customWidth="true" hidden="false" outlineLevel="0" max="9" min="6" style="0" width="9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7" t="s">
        <v>80</v>
      </c>
    </row>
    <row r="3" customFormat="false" ht="35.05" hidden="false" customHeight="false" outlineLevel="0" collapsed="false">
      <c r="A3" s="4" t="s">
        <v>35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86</v>
      </c>
      <c r="H3" s="4" t="s">
        <v>87</v>
      </c>
      <c r="I3" s="4" t="s">
        <v>88</v>
      </c>
      <c r="J3" s="4" t="s">
        <v>89</v>
      </c>
      <c r="K3" s="4" t="s">
        <v>90</v>
      </c>
    </row>
    <row r="4" customFormat="false" ht="15" hidden="false" customHeight="false" outlineLevel="0" collapsed="false">
      <c r="A4" s="12" t="n">
        <v>1</v>
      </c>
      <c r="B4" s="12" t="n">
        <f aca="false">COUNTIF(Сурагчид!$O$4:$O$73,A4)</f>
        <v>0</v>
      </c>
      <c r="C4" s="12" t="n">
        <f aca="false">COUNTIFS(Сурагчид!$O$4:$O$73,A4,Сурагчид!$K$4:$K$73,"А")</f>
        <v>0</v>
      </c>
      <c r="D4" s="12" t="n">
        <f aca="false">COUNTIFS(Сурагчид!$O$4:$O$73,A4,Сурагчид!$K$4:$K$73,"В")</f>
        <v>0</v>
      </c>
      <c r="E4" s="12" t="n">
        <f aca="false">COUNTIFS(Сурагчид!$O$4:$O$73,A4,Сурагчид!$K$4:$K$73,"С")</f>
        <v>0</v>
      </c>
      <c r="F4" s="12" t="n">
        <f aca="false">COUNTIFS(Сурагчид!$O$4:$O$73,A4,Сурагчид!$C$4:$C$73,6)</f>
        <v>0</v>
      </c>
      <c r="G4" s="12" t="n">
        <f aca="false">COUNTIFS(Сурагчид!$O$4:$O$73,A4,Сурагчид!$C$4:$C$73,7)</f>
        <v>0</v>
      </c>
      <c r="H4" s="12" t="n">
        <f aca="false">COUNTIFS(Сурагчид!$O$4:$O$73,A4,Сурагчид!$C$4:$C$73,8)</f>
        <v>0</v>
      </c>
      <c r="I4" s="12" t="n">
        <f aca="false">COUNTIFS(Сурагчид!$O$4:$O$73,A4,Сурагчид!$C$4:$C$73,9)</f>
        <v>0</v>
      </c>
      <c r="J4" s="12" t="str">
        <f aca="false">IFERROR(INDEX(Сурагчид!$B$4:$B$73,MATCH(A4,Сурагчид!$L$4:$L$73,0)),"")</f>
        <v/>
      </c>
      <c r="K4" s="16" t="str">
        <f aca="false">IF(COUNTIFS('Долоо хоног'!$D$4:$D$73,A4,'Долоо хоног'!$AL$4:$AL$73,"&lt;&gt;")=0,"",AVERAGEIF('Долоо хоног'!$D$4:$D$73,A4,'Долоо хоног'!$AL$4:$AL$73))</f>
        <v/>
      </c>
    </row>
    <row r="5" customFormat="false" ht="15" hidden="false" customHeight="false" outlineLevel="0" collapsed="false">
      <c r="A5" s="12" t="n">
        <v>2</v>
      </c>
      <c r="B5" s="12" t="n">
        <f aca="false">COUNTIF(Сурагчид!$O$4:$O$73,A5)</f>
        <v>0</v>
      </c>
      <c r="C5" s="12" t="n">
        <f aca="false">COUNTIFS(Сурагчид!$O$4:$O$73,A5,Сурагчид!$K$4:$K$73,"А")</f>
        <v>0</v>
      </c>
      <c r="D5" s="12" t="n">
        <f aca="false">COUNTIFS(Сурагчид!$O$4:$O$73,A5,Сурагчид!$K$4:$K$73,"В")</f>
        <v>0</v>
      </c>
      <c r="E5" s="12" t="n">
        <f aca="false">COUNTIFS(Сурагчид!$O$4:$O$73,A5,Сурагчид!$K$4:$K$73,"С")</f>
        <v>0</v>
      </c>
      <c r="F5" s="12" t="n">
        <f aca="false">COUNTIFS(Сурагчид!$O$4:$O$73,A5,Сурагчид!$C$4:$C$73,6)</f>
        <v>0</v>
      </c>
      <c r="G5" s="12" t="n">
        <f aca="false">COUNTIFS(Сурагчид!$O$4:$O$73,A5,Сурагчид!$C$4:$C$73,7)</f>
        <v>0</v>
      </c>
      <c r="H5" s="12" t="n">
        <f aca="false">COUNTIFS(Сурагчид!$O$4:$O$73,A5,Сурагчид!$C$4:$C$73,8)</f>
        <v>0</v>
      </c>
      <c r="I5" s="12" t="n">
        <f aca="false">COUNTIFS(Сурагчид!$O$4:$O$73,A5,Сурагчид!$C$4:$C$73,9)</f>
        <v>0</v>
      </c>
      <c r="J5" s="12" t="str">
        <f aca="false">IFERROR(INDEX(Сурагчид!$B$4:$B$73,MATCH(A5,Сурагчид!$L$4:$L$73,0)),"")</f>
        <v/>
      </c>
      <c r="K5" s="16" t="str">
        <f aca="false">IF(COUNTIFS('Долоо хоног'!$D$4:$D$73,A5,'Долоо хоног'!$AL$4:$AL$73,"&lt;&gt;")=0,"",AVERAGEIF('Долоо хоног'!$D$4:$D$73,A5,'Долоо хоног'!$AL$4:$AL$73))</f>
        <v/>
      </c>
    </row>
    <row r="6" customFormat="false" ht="15" hidden="false" customHeight="false" outlineLevel="0" collapsed="false">
      <c r="A6" s="12" t="n">
        <v>3</v>
      </c>
      <c r="B6" s="12" t="n">
        <f aca="false">COUNTIF(Сурагчид!$O$4:$O$73,A6)</f>
        <v>0</v>
      </c>
      <c r="C6" s="12" t="n">
        <f aca="false">COUNTIFS(Сурагчид!$O$4:$O$73,A6,Сурагчид!$K$4:$K$73,"А")</f>
        <v>0</v>
      </c>
      <c r="D6" s="12" t="n">
        <f aca="false">COUNTIFS(Сурагчид!$O$4:$O$73,A6,Сурагчид!$K$4:$K$73,"В")</f>
        <v>0</v>
      </c>
      <c r="E6" s="12" t="n">
        <f aca="false">COUNTIFS(Сурагчид!$O$4:$O$73,A6,Сурагчид!$K$4:$K$73,"С")</f>
        <v>0</v>
      </c>
      <c r="F6" s="12" t="n">
        <f aca="false">COUNTIFS(Сурагчид!$O$4:$O$73,A6,Сурагчид!$C$4:$C$73,6)</f>
        <v>0</v>
      </c>
      <c r="G6" s="12" t="n">
        <f aca="false">COUNTIFS(Сурагчид!$O$4:$O$73,A6,Сурагчид!$C$4:$C$73,7)</f>
        <v>0</v>
      </c>
      <c r="H6" s="12" t="n">
        <f aca="false">COUNTIFS(Сурагчид!$O$4:$O$73,A6,Сурагчид!$C$4:$C$73,8)</f>
        <v>0</v>
      </c>
      <c r="I6" s="12" t="n">
        <f aca="false">COUNTIFS(Сурагчид!$O$4:$O$73,A6,Сурагчид!$C$4:$C$73,9)</f>
        <v>0</v>
      </c>
      <c r="J6" s="12" t="str">
        <f aca="false">IFERROR(INDEX(Сурагчид!$B$4:$B$73,MATCH(A6,Сурагчид!$L$4:$L$73,0)),"")</f>
        <v/>
      </c>
      <c r="K6" s="16" t="str">
        <f aca="false">IF(COUNTIFS('Долоо хоног'!$D$4:$D$73,A6,'Долоо хоног'!$AL$4:$AL$73,"&lt;&gt;")=0,"",AVERAGEIF('Долоо хоног'!$D$4:$D$73,A6,'Долоо хоног'!$AL$4:$AL$73))</f>
        <v/>
      </c>
    </row>
    <row r="7" customFormat="false" ht="15" hidden="false" customHeight="false" outlineLevel="0" collapsed="false">
      <c r="A7" s="12" t="n">
        <v>4</v>
      </c>
      <c r="B7" s="12" t="n">
        <f aca="false">COUNTIF(Сурагчид!$O$4:$O$73,A7)</f>
        <v>0</v>
      </c>
      <c r="C7" s="12" t="n">
        <f aca="false">COUNTIFS(Сурагчид!$O$4:$O$73,A7,Сурагчид!$K$4:$K$73,"А")</f>
        <v>0</v>
      </c>
      <c r="D7" s="12" t="n">
        <f aca="false">COUNTIFS(Сурагчид!$O$4:$O$73,A7,Сурагчид!$K$4:$K$73,"В")</f>
        <v>0</v>
      </c>
      <c r="E7" s="12" t="n">
        <f aca="false">COUNTIFS(Сурагчид!$O$4:$O$73,A7,Сурагчид!$K$4:$K$73,"С")</f>
        <v>0</v>
      </c>
      <c r="F7" s="12" t="n">
        <f aca="false">COUNTIFS(Сурагчид!$O$4:$O$73,A7,Сурагчид!$C$4:$C$73,6)</f>
        <v>0</v>
      </c>
      <c r="G7" s="12" t="n">
        <f aca="false">COUNTIFS(Сурагчид!$O$4:$O$73,A7,Сурагчид!$C$4:$C$73,7)</f>
        <v>0</v>
      </c>
      <c r="H7" s="12" t="n">
        <f aca="false">COUNTIFS(Сурагчид!$O$4:$O$73,A7,Сурагчид!$C$4:$C$73,8)</f>
        <v>0</v>
      </c>
      <c r="I7" s="12" t="n">
        <f aca="false">COUNTIFS(Сурагчид!$O$4:$O$73,A7,Сурагчид!$C$4:$C$73,9)</f>
        <v>0</v>
      </c>
      <c r="J7" s="12" t="str">
        <f aca="false">IFERROR(INDEX(Сурагчид!$B$4:$B$73,MATCH(A7,Сурагчид!$L$4:$L$73,0)),"")</f>
        <v/>
      </c>
      <c r="K7" s="16" t="str">
        <f aca="false">IF(COUNTIFS('Долоо хоног'!$D$4:$D$73,A7,'Долоо хоног'!$AL$4:$AL$73,"&lt;&gt;")=0,"",AVERAGEIF('Долоо хоног'!$D$4:$D$73,A7,'Долоо хоног'!$AL$4:$AL$73))</f>
        <v/>
      </c>
    </row>
    <row r="8" customFormat="false" ht="15" hidden="false" customHeight="false" outlineLevel="0" collapsed="false">
      <c r="A8" s="12" t="n">
        <v>5</v>
      </c>
      <c r="B8" s="12" t="n">
        <f aca="false">COUNTIF(Сурагчид!$O$4:$O$73,A8)</f>
        <v>0</v>
      </c>
      <c r="C8" s="12" t="n">
        <f aca="false">COUNTIFS(Сурагчид!$O$4:$O$73,A8,Сурагчид!$K$4:$K$73,"А")</f>
        <v>0</v>
      </c>
      <c r="D8" s="12" t="n">
        <f aca="false">COUNTIFS(Сурагчид!$O$4:$O$73,A8,Сурагчид!$K$4:$K$73,"В")</f>
        <v>0</v>
      </c>
      <c r="E8" s="12" t="n">
        <f aca="false">COUNTIFS(Сурагчид!$O$4:$O$73,A8,Сурагчид!$K$4:$K$73,"С")</f>
        <v>0</v>
      </c>
      <c r="F8" s="12" t="n">
        <f aca="false">COUNTIFS(Сурагчид!$O$4:$O$73,A8,Сурагчид!$C$4:$C$73,6)</f>
        <v>0</v>
      </c>
      <c r="G8" s="12" t="n">
        <f aca="false">COUNTIFS(Сурагчид!$O$4:$O$73,A8,Сурагчид!$C$4:$C$73,7)</f>
        <v>0</v>
      </c>
      <c r="H8" s="12" t="n">
        <f aca="false">COUNTIFS(Сурагчид!$O$4:$O$73,A8,Сурагчид!$C$4:$C$73,8)</f>
        <v>0</v>
      </c>
      <c r="I8" s="12" t="n">
        <f aca="false">COUNTIFS(Сурагчид!$O$4:$O$73,A8,Сурагчид!$C$4:$C$73,9)</f>
        <v>0</v>
      </c>
      <c r="J8" s="12" t="str">
        <f aca="false">IFERROR(INDEX(Сурагчид!$B$4:$B$73,MATCH(A8,Сурагчид!$L$4:$L$73,0)),"")</f>
        <v/>
      </c>
      <c r="K8" s="16" t="str">
        <f aca="false">IF(COUNTIFS('Долоо хоног'!$D$4:$D$73,A8,'Долоо хоног'!$AL$4:$AL$73,"&lt;&gt;")=0,"",AVERAGEIF('Долоо хоног'!$D$4:$D$73,A8,'Долоо хоног'!$AL$4:$AL$73))</f>
        <v/>
      </c>
    </row>
    <row r="9" customFormat="false" ht="15" hidden="false" customHeight="false" outlineLevel="0" collapsed="false">
      <c r="A9" s="12" t="n">
        <v>6</v>
      </c>
      <c r="B9" s="12" t="n">
        <f aca="false">COUNTIF(Сурагчид!$O$4:$O$73,A9)</f>
        <v>0</v>
      </c>
      <c r="C9" s="12" t="n">
        <f aca="false">COUNTIFS(Сурагчид!$O$4:$O$73,A9,Сурагчид!$K$4:$K$73,"А")</f>
        <v>0</v>
      </c>
      <c r="D9" s="12" t="n">
        <f aca="false">COUNTIFS(Сурагчид!$O$4:$O$73,A9,Сурагчид!$K$4:$K$73,"В")</f>
        <v>0</v>
      </c>
      <c r="E9" s="12" t="n">
        <f aca="false">COUNTIFS(Сурагчид!$O$4:$O$73,A9,Сурагчид!$K$4:$K$73,"С")</f>
        <v>0</v>
      </c>
      <c r="F9" s="12" t="n">
        <f aca="false">COUNTIFS(Сурагчид!$O$4:$O$73,A9,Сурагчид!$C$4:$C$73,6)</f>
        <v>0</v>
      </c>
      <c r="G9" s="12" t="n">
        <f aca="false">COUNTIFS(Сурагчид!$O$4:$O$73,A9,Сурагчид!$C$4:$C$73,7)</f>
        <v>0</v>
      </c>
      <c r="H9" s="12" t="n">
        <f aca="false">COUNTIFS(Сурагчид!$O$4:$O$73,A9,Сурагчид!$C$4:$C$73,8)</f>
        <v>0</v>
      </c>
      <c r="I9" s="12" t="n">
        <f aca="false">COUNTIFS(Сурагчид!$O$4:$O$73,A9,Сурагчид!$C$4:$C$73,9)</f>
        <v>0</v>
      </c>
      <c r="J9" s="12" t="str">
        <f aca="false">IFERROR(INDEX(Сурагчид!$B$4:$B$73,MATCH(A9,Сурагчид!$L$4:$L$73,0)),"")</f>
        <v/>
      </c>
      <c r="K9" s="16" t="str">
        <f aca="false">IF(COUNTIFS('Долоо хоног'!$D$4:$D$73,A9,'Долоо хоног'!$AL$4:$AL$73,"&lt;&gt;")=0,"",AVERAGEIF('Долоо хоног'!$D$4:$D$73,A9,'Долоо хоног'!$AL$4:$AL$73))</f>
        <v/>
      </c>
    </row>
    <row r="10" customFormat="false" ht="15" hidden="false" customHeight="false" outlineLevel="0" collapsed="false">
      <c r="A10" s="12" t="n">
        <v>7</v>
      </c>
      <c r="B10" s="12" t="n">
        <f aca="false">COUNTIF(Сурагчид!$O$4:$O$73,A10)</f>
        <v>0</v>
      </c>
      <c r="C10" s="12" t="n">
        <f aca="false">COUNTIFS(Сурагчид!$O$4:$O$73,A10,Сурагчид!$K$4:$K$73,"А")</f>
        <v>0</v>
      </c>
      <c r="D10" s="12" t="n">
        <f aca="false">COUNTIFS(Сурагчид!$O$4:$O$73,A10,Сурагчид!$K$4:$K$73,"В")</f>
        <v>0</v>
      </c>
      <c r="E10" s="12" t="n">
        <f aca="false">COUNTIFS(Сурагчид!$O$4:$O$73,A10,Сурагчид!$K$4:$K$73,"С")</f>
        <v>0</v>
      </c>
      <c r="F10" s="12" t="n">
        <f aca="false">COUNTIFS(Сурагчид!$O$4:$O$73,A10,Сурагчид!$C$4:$C$73,6)</f>
        <v>0</v>
      </c>
      <c r="G10" s="12" t="n">
        <f aca="false">COUNTIFS(Сурагчид!$O$4:$O$73,A10,Сурагчид!$C$4:$C$73,7)</f>
        <v>0</v>
      </c>
      <c r="H10" s="12" t="n">
        <f aca="false">COUNTIFS(Сурагчид!$O$4:$O$73,A10,Сурагчид!$C$4:$C$73,8)</f>
        <v>0</v>
      </c>
      <c r="I10" s="12" t="n">
        <f aca="false">COUNTIFS(Сурагчид!$O$4:$O$73,A10,Сурагчид!$C$4:$C$73,9)</f>
        <v>0</v>
      </c>
      <c r="J10" s="12" t="str">
        <f aca="false">IFERROR(INDEX(Сурагчид!$B$4:$B$73,MATCH(A10,Сурагчид!$L$4:$L$73,0)),"")</f>
        <v/>
      </c>
      <c r="K10" s="16" t="str">
        <f aca="false">IF(COUNTIFS('Долоо хоног'!$D$4:$D$73,A10,'Долоо хоног'!$AL$4:$AL$73,"&lt;&gt;")=0,"",AVERAGEIF('Долоо хоног'!$D$4:$D$73,A10,'Долоо хоног'!$AL$4:$AL$73))</f>
        <v/>
      </c>
    </row>
    <row r="11" customFormat="false" ht="15" hidden="false" customHeight="false" outlineLevel="0" collapsed="false">
      <c r="A11" s="12" t="n">
        <v>8</v>
      </c>
      <c r="B11" s="12" t="n">
        <f aca="false">COUNTIF(Сурагчид!$O$4:$O$73,A11)</f>
        <v>0</v>
      </c>
      <c r="C11" s="12" t="n">
        <f aca="false">COUNTIFS(Сурагчид!$O$4:$O$73,A11,Сурагчид!$K$4:$K$73,"А")</f>
        <v>0</v>
      </c>
      <c r="D11" s="12" t="n">
        <f aca="false">COUNTIFS(Сурагчид!$O$4:$O$73,A11,Сурагчид!$K$4:$K$73,"В")</f>
        <v>0</v>
      </c>
      <c r="E11" s="12" t="n">
        <f aca="false">COUNTIFS(Сурагчид!$O$4:$O$73,A11,Сурагчид!$K$4:$K$73,"С")</f>
        <v>0</v>
      </c>
      <c r="F11" s="12" t="n">
        <f aca="false">COUNTIFS(Сурагчид!$O$4:$O$73,A11,Сурагчид!$C$4:$C$73,6)</f>
        <v>0</v>
      </c>
      <c r="G11" s="12" t="n">
        <f aca="false">COUNTIFS(Сурагчид!$O$4:$O$73,A11,Сурагчид!$C$4:$C$73,7)</f>
        <v>0</v>
      </c>
      <c r="H11" s="12" t="n">
        <f aca="false">COUNTIFS(Сурагчид!$O$4:$O$73,A11,Сурагчид!$C$4:$C$73,8)</f>
        <v>0</v>
      </c>
      <c r="I11" s="12" t="n">
        <f aca="false">COUNTIFS(Сурагчид!$O$4:$O$73,A11,Сурагчид!$C$4:$C$73,9)</f>
        <v>0</v>
      </c>
      <c r="J11" s="12" t="str">
        <f aca="false">IFERROR(INDEX(Сурагчид!$B$4:$B$73,MATCH(A11,Сурагчид!$L$4:$L$73,0)),"")</f>
        <v/>
      </c>
      <c r="K11" s="16" t="str">
        <f aca="false">IF(COUNTIFS('Долоо хоног'!$D$4:$D$73,A11,'Долоо хоног'!$AL$4:$AL$73,"&lt;&gt;")=0,"",AVERAGEIF('Долоо хоног'!$D$4:$D$73,A11,'Долоо хоног'!$AL$4:$AL$73))</f>
        <v/>
      </c>
    </row>
    <row r="12" customFormat="false" ht="15" hidden="false" customHeight="false" outlineLevel="0" collapsed="false">
      <c r="A12" s="12" t="n">
        <v>9</v>
      </c>
      <c r="B12" s="12" t="n">
        <f aca="false">COUNTIF(Сурагчид!$O$4:$O$73,A12)</f>
        <v>0</v>
      </c>
      <c r="C12" s="12" t="n">
        <f aca="false">COUNTIFS(Сурагчид!$O$4:$O$73,A12,Сурагчид!$K$4:$K$73,"А")</f>
        <v>0</v>
      </c>
      <c r="D12" s="12" t="n">
        <f aca="false">COUNTIFS(Сурагчид!$O$4:$O$73,A12,Сурагчид!$K$4:$K$73,"В")</f>
        <v>0</v>
      </c>
      <c r="E12" s="12" t="n">
        <f aca="false">COUNTIFS(Сурагчид!$O$4:$O$73,A12,Сурагчид!$K$4:$K$73,"С")</f>
        <v>0</v>
      </c>
      <c r="F12" s="12" t="n">
        <f aca="false">COUNTIFS(Сурагчид!$O$4:$O$73,A12,Сурагчид!$C$4:$C$73,6)</f>
        <v>0</v>
      </c>
      <c r="G12" s="12" t="n">
        <f aca="false">COUNTIFS(Сурагчид!$O$4:$O$73,A12,Сурагчид!$C$4:$C$73,7)</f>
        <v>0</v>
      </c>
      <c r="H12" s="12" t="n">
        <f aca="false">COUNTIFS(Сурагчид!$O$4:$O$73,A12,Сурагчид!$C$4:$C$73,8)</f>
        <v>0</v>
      </c>
      <c r="I12" s="12" t="n">
        <f aca="false">COUNTIFS(Сурагчид!$O$4:$O$73,A12,Сурагчид!$C$4:$C$73,9)</f>
        <v>0</v>
      </c>
      <c r="J12" s="12" t="str">
        <f aca="false">IFERROR(INDEX(Сурагчид!$B$4:$B$73,MATCH(A12,Сурагчид!$L$4:$L$73,0)),"")</f>
        <v/>
      </c>
      <c r="K12" s="16" t="str">
        <f aca="false">IF(COUNTIFS('Долоо хоног'!$D$4:$D$73,A12,'Долоо хоног'!$AL$4:$AL$73,"&lt;&gt;")=0,"",AVERAGEIF('Долоо хоног'!$D$4:$D$73,A12,'Долоо хоног'!$AL$4:$AL$73))</f>
        <v/>
      </c>
    </row>
    <row r="13" customFormat="false" ht="15" hidden="false" customHeight="false" outlineLevel="0" collapsed="false">
      <c r="A13" s="12" t="n">
        <v>10</v>
      </c>
      <c r="B13" s="12" t="n">
        <f aca="false">COUNTIF(Сурагчид!$O$4:$O$73,A13)</f>
        <v>0</v>
      </c>
      <c r="C13" s="12" t="n">
        <f aca="false">COUNTIFS(Сурагчид!$O$4:$O$73,A13,Сурагчид!$K$4:$K$73,"А")</f>
        <v>0</v>
      </c>
      <c r="D13" s="12" t="n">
        <f aca="false">COUNTIFS(Сурагчид!$O$4:$O$73,A13,Сурагчид!$K$4:$K$73,"В")</f>
        <v>0</v>
      </c>
      <c r="E13" s="12" t="n">
        <f aca="false">COUNTIFS(Сурагчид!$O$4:$O$73,A13,Сурагчид!$K$4:$K$73,"С")</f>
        <v>0</v>
      </c>
      <c r="F13" s="12" t="n">
        <f aca="false">COUNTIFS(Сурагчид!$O$4:$O$73,A13,Сурагчид!$C$4:$C$73,6)</f>
        <v>0</v>
      </c>
      <c r="G13" s="12" t="n">
        <f aca="false">COUNTIFS(Сурагчид!$O$4:$O$73,A13,Сурагчид!$C$4:$C$73,7)</f>
        <v>0</v>
      </c>
      <c r="H13" s="12" t="n">
        <f aca="false">COUNTIFS(Сурагчид!$O$4:$O$73,A13,Сурагчид!$C$4:$C$73,8)</f>
        <v>0</v>
      </c>
      <c r="I13" s="12" t="n">
        <f aca="false">COUNTIFS(Сурагчид!$O$4:$O$73,A13,Сурагчид!$C$4:$C$73,9)</f>
        <v>0</v>
      </c>
      <c r="J13" s="12" t="str">
        <f aca="false">IFERROR(INDEX(Сурагчид!$B$4:$B$73,MATCH(A13,Сурагчид!$L$4:$L$73,0)),"")</f>
        <v/>
      </c>
      <c r="K13" s="16" t="str">
        <f aca="false">IF(COUNTIFS('Долоо хоног'!$D$4:$D$73,A13,'Долоо хоног'!$AL$4:$AL$73,"&lt;&gt;")=0,"",AVERAGEIF('Долоо хоног'!$D$4:$D$73,A13,'Долоо хоног'!$AL$4:$AL$73))</f>
        <v/>
      </c>
    </row>
    <row r="14" customFormat="false" ht="15" hidden="false" customHeight="false" outlineLevel="0" collapsed="false">
      <c r="A14" s="12" t="n">
        <v>11</v>
      </c>
      <c r="B14" s="12" t="n">
        <f aca="false">COUNTIF(Сурагчид!$O$4:$O$73,A14)</f>
        <v>0</v>
      </c>
      <c r="C14" s="12" t="n">
        <f aca="false">COUNTIFS(Сурагчид!$O$4:$O$73,A14,Сурагчид!$K$4:$K$73,"А")</f>
        <v>0</v>
      </c>
      <c r="D14" s="12" t="n">
        <f aca="false">COUNTIFS(Сурагчид!$O$4:$O$73,A14,Сурагчид!$K$4:$K$73,"В")</f>
        <v>0</v>
      </c>
      <c r="E14" s="12" t="n">
        <f aca="false">COUNTIFS(Сурагчид!$O$4:$O$73,A14,Сурагчид!$K$4:$K$73,"С")</f>
        <v>0</v>
      </c>
      <c r="F14" s="12" t="n">
        <f aca="false">COUNTIFS(Сурагчид!$O$4:$O$73,A14,Сурагчид!$C$4:$C$73,6)</f>
        <v>0</v>
      </c>
      <c r="G14" s="12" t="n">
        <f aca="false">COUNTIFS(Сурагчид!$O$4:$O$73,A14,Сурагчид!$C$4:$C$73,7)</f>
        <v>0</v>
      </c>
      <c r="H14" s="12" t="n">
        <f aca="false">COUNTIFS(Сурагчид!$O$4:$O$73,A14,Сурагчид!$C$4:$C$73,8)</f>
        <v>0</v>
      </c>
      <c r="I14" s="12" t="n">
        <f aca="false">COUNTIFS(Сурагчид!$O$4:$O$73,A14,Сурагчид!$C$4:$C$73,9)</f>
        <v>0</v>
      </c>
      <c r="J14" s="12" t="str">
        <f aca="false">IFERROR(INDEX(Сурагчид!$B$4:$B$73,MATCH(A14,Сурагчид!$L$4:$L$73,0)),"")</f>
        <v/>
      </c>
      <c r="K14" s="16" t="str">
        <f aca="false">IF(COUNTIFS('Долоо хоног'!$D$4:$D$73,A14,'Долоо хоног'!$AL$4:$AL$73,"&lt;&gt;")=0,"",AVERAGEIF('Долоо хоног'!$D$4:$D$73,A14,'Долоо хоног'!$AL$4:$AL$73))</f>
        <v/>
      </c>
    </row>
    <row r="15" customFormat="false" ht="15" hidden="false" customHeight="false" outlineLevel="0" collapsed="false">
      <c r="A15" s="12" t="n">
        <v>12</v>
      </c>
      <c r="B15" s="12" t="n">
        <f aca="false">COUNTIF(Сурагчид!$O$4:$O$73,A15)</f>
        <v>0</v>
      </c>
      <c r="C15" s="12" t="n">
        <f aca="false">COUNTIFS(Сурагчид!$O$4:$O$73,A15,Сурагчид!$K$4:$K$73,"А")</f>
        <v>0</v>
      </c>
      <c r="D15" s="12" t="n">
        <f aca="false">COUNTIFS(Сурагчид!$O$4:$O$73,A15,Сурагчид!$K$4:$K$73,"В")</f>
        <v>0</v>
      </c>
      <c r="E15" s="12" t="n">
        <f aca="false">COUNTIFS(Сурагчид!$O$4:$O$73,A15,Сурагчид!$K$4:$K$73,"С")</f>
        <v>0</v>
      </c>
      <c r="F15" s="12" t="n">
        <f aca="false">COUNTIFS(Сурагчид!$O$4:$O$73,A15,Сурагчид!$C$4:$C$73,6)</f>
        <v>0</v>
      </c>
      <c r="G15" s="12" t="n">
        <f aca="false">COUNTIFS(Сурагчид!$O$4:$O$73,A15,Сурагчид!$C$4:$C$73,7)</f>
        <v>0</v>
      </c>
      <c r="H15" s="12" t="n">
        <f aca="false">COUNTIFS(Сурагчид!$O$4:$O$73,A15,Сурагчид!$C$4:$C$73,8)</f>
        <v>0</v>
      </c>
      <c r="I15" s="12" t="n">
        <f aca="false">COUNTIFS(Сурагчид!$O$4:$O$73,A15,Сурагчид!$C$4:$C$73,9)</f>
        <v>0</v>
      </c>
      <c r="J15" s="12" t="str">
        <f aca="false">IFERROR(INDEX(Сурагчид!$B$4:$B$73,MATCH(A15,Сурагчид!$L$4:$L$73,0)),"")</f>
        <v/>
      </c>
      <c r="K15" s="16" t="str">
        <f aca="false">IF(COUNTIFS('Долоо хоног'!$D$4:$D$73,A15,'Долоо хоног'!$AL$4:$AL$73,"&lt;&gt;")=0,"",AVERAGEIF('Долоо хоног'!$D$4:$D$73,A15,'Долоо хоног'!$AL$4:$AL$73))</f>
        <v/>
      </c>
    </row>
    <row r="16" customFormat="false" ht="15" hidden="false" customHeight="false" outlineLevel="0" collapsed="false">
      <c r="A16" s="12" t="n">
        <v>13</v>
      </c>
      <c r="B16" s="12" t="n">
        <f aca="false">COUNTIF(Сурагчид!$O$4:$O$73,A16)</f>
        <v>0</v>
      </c>
      <c r="C16" s="12" t="n">
        <f aca="false">COUNTIFS(Сурагчид!$O$4:$O$73,A16,Сурагчид!$K$4:$K$73,"А")</f>
        <v>0</v>
      </c>
      <c r="D16" s="12" t="n">
        <f aca="false">COUNTIFS(Сурагчид!$O$4:$O$73,A16,Сурагчид!$K$4:$K$73,"В")</f>
        <v>0</v>
      </c>
      <c r="E16" s="12" t="n">
        <f aca="false">COUNTIFS(Сурагчид!$O$4:$O$73,A16,Сурагчид!$K$4:$K$73,"С")</f>
        <v>0</v>
      </c>
      <c r="F16" s="12" t="n">
        <f aca="false">COUNTIFS(Сурагчид!$O$4:$O$73,A16,Сурагчид!$C$4:$C$73,6)</f>
        <v>0</v>
      </c>
      <c r="G16" s="12" t="n">
        <f aca="false">COUNTIFS(Сурагчид!$O$4:$O$73,A16,Сурагчид!$C$4:$C$73,7)</f>
        <v>0</v>
      </c>
      <c r="H16" s="12" t="n">
        <f aca="false">COUNTIFS(Сурагчид!$O$4:$O$73,A16,Сурагчид!$C$4:$C$73,8)</f>
        <v>0</v>
      </c>
      <c r="I16" s="12" t="n">
        <f aca="false">COUNTIFS(Сурагчид!$O$4:$O$73,A16,Сурагчид!$C$4:$C$73,9)</f>
        <v>0</v>
      </c>
      <c r="J16" s="12" t="str">
        <f aca="false">IFERROR(INDEX(Сурагчид!$B$4:$B$73,MATCH(A16,Сурагчид!$L$4:$L$73,0)),"")</f>
        <v/>
      </c>
      <c r="K16" s="16" t="str">
        <f aca="false">IF(COUNTIFS('Долоо хоног'!$D$4:$D$73,A16,'Долоо хоног'!$AL$4:$AL$73,"&lt;&gt;")=0,"",AVERAGEIF('Долоо хоног'!$D$4:$D$73,A16,'Долоо хоног'!$AL$4:$AL$73))</f>
        <v/>
      </c>
    </row>
    <row r="17" customFormat="false" ht="15" hidden="false" customHeight="false" outlineLevel="0" collapsed="false">
      <c r="A17" s="3" t="s">
        <v>91</v>
      </c>
      <c r="B17" s="18" t="n">
        <f aca="false">SUM(B4:B16)</f>
        <v>0</v>
      </c>
      <c r="C17" s="18" t="n">
        <f aca="false">SUM(C4:C16)</f>
        <v>0</v>
      </c>
      <c r="D17" s="18" t="n">
        <f aca="false">SUM(D4:D16)</f>
        <v>0</v>
      </c>
      <c r="E17" s="18" t="n">
        <f aca="false">SUM(E4:E16)</f>
        <v>0</v>
      </c>
      <c r="F17" s="18" t="n">
        <f aca="false">SUM(F4:F16)</f>
        <v>0</v>
      </c>
      <c r="G17" s="18" t="n">
        <f aca="false">SUM(G4:G16)</f>
        <v>0</v>
      </c>
      <c r="H17" s="18" t="n">
        <f aca="false">SUM(H4:H16)</f>
        <v>0</v>
      </c>
      <c r="I17" s="18" t="n">
        <f aca="false">SUM(I4:I16)</f>
        <v>0</v>
      </c>
    </row>
    <row r="18" customFormat="false" ht="15" hidden="false" customHeight="false" outlineLevel="0" collapsed="false">
      <c r="A18" s="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7" min="5" style="0" width="7"/>
    <col collapsed="false" customWidth="true" hidden="false" outlineLevel="0" max="8" min="8" style="0" width="11"/>
  </cols>
  <sheetData>
    <row r="1" customFormat="false" ht="16.15" hidden="false" customHeight="false" outlineLevel="0" collapsed="false">
      <c r="A1" s="7" t="s">
        <v>93</v>
      </c>
    </row>
    <row r="3" customFormat="false" ht="23.85" hidden="false" customHeight="false" outlineLevel="0" collapsed="false">
      <c r="A3" s="4" t="s">
        <v>94</v>
      </c>
      <c r="B3" s="4" t="s">
        <v>95</v>
      </c>
      <c r="C3" s="4" t="s">
        <v>96</v>
      </c>
      <c r="D3" s="4" t="s">
        <v>97</v>
      </c>
      <c r="E3" s="4" t="s">
        <v>82</v>
      </c>
      <c r="F3" s="4" t="s">
        <v>83</v>
      </c>
      <c r="G3" s="4" t="s">
        <v>84</v>
      </c>
      <c r="H3" s="4" t="s">
        <v>98</v>
      </c>
    </row>
    <row r="4" customFormat="false" ht="15" hidden="false" customHeight="false" outlineLevel="0" collapsed="false">
      <c r="A4" s="9" t="s">
        <v>99</v>
      </c>
      <c r="B4" s="19" t="str">
        <f aca="false">IF(COUNT(Сурагчид!$G$4:$G$73)=0,"",AVERAGE(Сурагчид!$G$4:$G$73))</f>
        <v/>
      </c>
      <c r="C4" s="19" t="str">
        <f aca="false">IF(COUNT(Сурагчид!$D$4:$D$73)=0,"",AVERAGE(Сурагчид!$D$4:$D$73))</f>
        <v/>
      </c>
      <c r="D4" s="19" t="str">
        <f aca="false">IF(COUNT(Сурагчид!$H$4:$H$73)=0,"",AVERAGE(Сурагчид!$H$4:$H$73))</f>
        <v/>
      </c>
      <c r="E4" s="9" t="n">
        <f aca="false">COUNTIF(Сурагчид!$K$4:$K$73,"А")</f>
        <v>0</v>
      </c>
      <c r="F4" s="9" t="n">
        <f aca="false">COUNTIF(Сурагчид!$K$4:$K$73,"В")</f>
        <v>0</v>
      </c>
      <c r="G4" s="9" t="n">
        <f aca="false">COUNTIF(Сурагчид!$K$4:$K$73,"С")</f>
        <v>0</v>
      </c>
      <c r="H4" s="9" t="n">
        <f aca="false">COUNT(Сурагчид!$G$4:$G$73)</f>
        <v>0</v>
      </c>
    </row>
    <row r="5" customFormat="false" ht="15" hidden="false" customHeight="false" outlineLevel="0" collapsed="false">
      <c r="A5" s="9" t="s">
        <v>100</v>
      </c>
      <c r="B5" s="19" t="str">
        <f aca="false">IF(COUNT(Сурагчид!$T$4:$T$73)=0,"",AVERAGE(Сурагчид!$T$4:$T$73))</f>
        <v/>
      </c>
      <c r="C5" s="19" t="str">
        <f aca="false">IF(COUNT(Сурагчид!$Q$4:$Q$73)=0,"",AVERAGE(Сурагчид!$Q$4:$Q$73))</f>
        <v/>
      </c>
      <c r="D5" s="19" t="str">
        <f aca="false">IF(COUNT(Сурагчид!$U$4:$U$73)=0,"",AVERAGE(Сурагчид!$U$4:$U$73))</f>
        <v/>
      </c>
      <c r="E5" s="9" t="n">
        <f aca="false">COUNTIF(Сурагчид!$V$4:$V$73,"А")</f>
        <v>0</v>
      </c>
      <c r="F5" s="9" t="n">
        <f aca="false">COUNTIF(Сурагчид!$V$4:$V$73,"В")</f>
        <v>0</v>
      </c>
      <c r="G5" s="9" t="n">
        <f aca="false">COUNTIF(Сурагчид!$V$4:$V$73,"С")</f>
        <v>0</v>
      </c>
      <c r="H5" s="9" t="n">
        <f aca="false">COUNT(Сурагчид!$T$4:$T$73)</f>
        <v>0</v>
      </c>
    </row>
    <row r="6" customFormat="false" ht="15" hidden="false" customHeight="false" outlineLevel="0" collapsed="false">
      <c r="A6" s="9" t="s">
        <v>101</v>
      </c>
      <c r="B6" s="19" t="str">
        <f aca="false">IF(COUNT(Сурагчид!$Z$4:$Z$73)=0,"",AVERAGE(Сурагчид!$Z$4:$Z$73))</f>
        <v/>
      </c>
      <c r="C6" s="19" t="str">
        <f aca="false">IF(COUNT(Сурагчид!$W$4:$W$73)=0,"",AVERAGE(Сурагчид!$W$4:$W$73))</f>
        <v/>
      </c>
      <c r="D6" s="19" t="str">
        <f aca="false">IF(COUNT(Сурагчид!$AA$4:$AA$73)=0,"",AVERAGE(Сурагчид!$AA$4:$AA$73))</f>
        <v/>
      </c>
      <c r="E6" s="9" t="n">
        <f aca="false">COUNTIF(Сурагчид!$AB$4:$AB$73,"А")</f>
        <v>0</v>
      </c>
      <c r="F6" s="9" t="n">
        <f aca="false">COUNTIF(Сурагчид!$AB$4:$AB$73,"В")</f>
        <v>0</v>
      </c>
      <c r="G6" s="9" t="n">
        <f aca="false">COUNTIF(Сурагчид!$AB$4:$AB$73,"С")</f>
        <v>0</v>
      </c>
      <c r="H6" s="9" t="n">
        <f aca="false">COUNT(Сурагчид!$Z$4:$Z$73)</f>
        <v>0</v>
      </c>
    </row>
    <row r="8" customFormat="false" ht="15" hidden="false" customHeight="false" outlineLevel="0" collapsed="false">
      <c r="A8" s="6" t="s">
        <v>102</v>
      </c>
    </row>
    <row r="9" customFormat="false" ht="15" hidden="false" customHeight="false" outlineLevel="0" collapsed="false">
      <c r="A9" s="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2026-10-06T07:29:44Z</dcterms:created>
  <dc:creator>openpyxl</dc:creator>
  <dc:description/>
  <dc:language>en-US</dc:language>
  <cp:lastModifiedBy/>
  <dcterms:modified xsi:type="dcterms:W3CDTF">2026-10-06T07:29:47Z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